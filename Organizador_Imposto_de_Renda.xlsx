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ÍCIO" sheetId="1" state="visible" r:id="rId3"/>
    <sheet name="TITULAR" sheetId="2" state="visible" r:id="rId4"/>
    <sheet name="RENDIMENTOS" sheetId="3" state="visible" r:id="rId5"/>
    <sheet name="ENTRADAS" sheetId="4" state="visible" r:id="rId6"/>
    <sheet name="DEDUÇÕES" sheetId="5" state="visible" r:id="rId7"/>
    <sheet name="LISTAS" sheetId="6" state="hidden" r:id="rId8"/>
  </sheets>
  <definedNames>
    <definedName function="false" hidden="false" name="ANO_BASE" vbProcedure="false">INÍCIO!$C$5</definedName>
    <definedName function="false" hidden="false" name="BANCOS" vbProcedure="false">LISTAS!$A$2:$A$51</definedName>
    <definedName function="false" hidden="false" name="CATEGORIAS" vbProcedure="false">LISTAS!$B$2:$B$7</definedName>
    <definedName function="false" hidden="false" name="DEDUCOES" vbProcedure="false">LISTAS!$D$2:$D$7</definedName>
    <definedName function="false" hidden="false" name="ESTADO_CIVIL" vbProcedure="false">LISTAS!$G$2:$G$7</definedName>
    <definedName function="false" hidden="false" name="PRODUTOS" vbProcedure="false">LISTAS!$C$2:$C$7</definedName>
    <definedName function="false" hidden="false" name="SIMNAO" vbProcedure="false">LISTAS!$E$2:$E$3</definedName>
    <definedName function="false" hidden="false" name="UFS" vbProcedure="false">LISTAS!$F$2:$F$28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<sst xmlns="http://schemas.openxmlformats.org/spreadsheetml/2006/main" count="268" uniqueCount="244">
  <si>
    <t xml:space="preserve">ORGANIZADOR DE IMPOSTO DE RENDA</t>
  </si>
  <si>
    <t xml:space="preserve">Reúna e confira seus dados antes de abrir o programa da Receita Federal</t>
  </si>
  <si>
    <t xml:space="preserve">ANO-CALENDÁRIO</t>
  </si>
  <si>
    <t xml:space="preserve">TITULAR</t>
  </si>
  <si>
    <t xml:space="preserve">Amarelo com texto azul = preencher · Células brancas e cinza = fórmulas (protegidas, sem senha) · As linhas de exemplo (fictícias) podem ser apagadas.</t>
  </si>
  <si>
    <t xml:space="preserve">MENU</t>
  </si>
  <si>
    <t xml:space="preserve">1 · TITULAR</t>
  </si>
  <si>
    <t xml:space="preserve">2 · RENDIMENTOS</t>
  </si>
  <si>
    <t xml:space="preserve">3 · ENTRADAS</t>
  </si>
  <si>
    <t xml:space="preserve">4 · DEDUÇÕES</t>
  </si>
  <si>
    <t xml:space="preserve">Dados pessoais</t>
  </si>
  <si>
    <t xml:space="preserve">Saldos e informes dos bancos</t>
  </si>
  <si>
    <t xml:space="preserve">Holerites, PJ e outras receitas</t>
  </si>
  <si>
    <t xml:space="preserve">Saúde, educação e outras</t>
  </si>
  <si>
    <t xml:space="preserve">RESUMO DO ANO</t>
  </si>
  <si>
    <t xml:space="preserve">ENTRADAS (BRUTO)</t>
  </si>
  <si>
    <t xml:space="preserve">IR RETIDO NA FONTE</t>
  </si>
  <si>
    <t xml:space="preserve">SALDO BANCÁRIO 31/12</t>
  </si>
  <si>
    <t xml:space="preserve">DEDUÇÕES LANÇADAS</t>
  </si>
  <si>
    <t xml:space="preserve">ENTRADAS MÊS A MÊS</t>
  </si>
  <si>
    <t xml:space="preserve">Mês</t>
  </si>
  <si>
    <t xml:space="preserve">Bruto (R$)</t>
  </si>
  <si>
    <t xml:space="preserve">% do ano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</si>
  <si>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</si>
  <si>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</si>
  <si>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</si>
  <si>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</si>
  <si>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</si>
  <si>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</si>
  <si>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</si>
  <si>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</si>
  <si>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</si>
  <si>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</si>
  <si>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</si>
  <si>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</si>
  <si>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</si>
  <si>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LINKS RÁPIDOS (OFICIAIS)</t>
  </si>
  <si>
    <t xml:space="preserve">Receita Federal ↗</t>
  </si>
  <si>
    <t xml:space="preserve">Portal oficial: download do programa do IRPF, prazos e regras.</t>
  </si>
  <si>
    <t xml:space="preserve">Meu Imposto de Renda ↗</t>
  </si>
  <si>
    <t xml:space="preserve">Declaração pelo navegador ou app (conta gov.br prata ou ouro).</t>
  </si>
  <si>
    <t xml:space="preserve">Portal e-CAC ↗</t>
  </si>
  <si>
    <t xml:space="preserve">Atendimento virtual: pendências, extratos e declaração pré-preenchida.</t>
  </si>
  <si>
    <t xml:space="preserve">Conta gov.br ↗</t>
  </si>
  <si>
    <t xml:space="preserve">Crie ou aumente o nível da sua conta antes de declarar.</t>
  </si>
  <si>
    <t xml:space="preserve">Planilha de apoio à organização dos documentos; não substitui o programa oficial nem orientação contábil. Confira sempre as regras do ano na Receita Federal.</t>
  </si>
  <si>
    <t xml:space="preserve">1 · DADOS DO TITULAR</t>
  </si>
  <si>
    <t xml:space="preserve">Informações pessoais usadas para abrir a declaração</t>
  </si>
  <si>
    <t xml:space="preserve">◀ Menu principal</t>
  </si>
  <si>
    <t xml:space="preserve">Próxima etapa: Rendimentos ▶</t>
  </si>
  <si>
    <t xml:space="preserve">Preencha as células amarelas (texto azul). A coluna de status confere cada campo. Os dados atuais são um EXEMPLO fictício — sobrescreva com os seus.</t>
  </si>
  <si>
    <t xml:space="preserve">IDENTIFICAÇÃO</t>
  </si>
  <si>
    <t xml:space="preserve">Nome completo</t>
  </si>
  <si>
    <t xml:space="preserve">Ana Beatriz Exemplo Souza</t>
  </si>
  <si>
    <t xml:space="preserve">CPF (somente números)</t>
  </si>
  <si>
    <t xml:space="preserve">Data de nascimento</t>
  </si>
  <si>
    <t xml:space="preserve">Título de eleitor (12 dígitos)</t>
  </si>
  <si>
    <t xml:space="preserve">Estado civil</t>
  </si>
  <si>
    <t xml:space="preserve">Casado(a)</t>
  </si>
  <si>
    <t xml:space="preserve">Nome do cônjuge</t>
  </si>
  <si>
    <t xml:space="preserve">Carlos Exemplo Souza</t>
  </si>
  <si>
    <t xml:space="preserve">ENDEREÇO</t>
  </si>
  <si>
    <t xml:space="preserve">Logradouro</t>
  </si>
  <si>
    <t xml:space="preserve">Rua das Acácias</t>
  </si>
  <si>
    <t xml:space="preserve">Número</t>
  </si>
  <si>
    <t xml:space="preserve">250</t>
  </si>
  <si>
    <t xml:space="preserve">Complemento (opcional)</t>
  </si>
  <si>
    <t xml:space="preserve">Apto 41</t>
  </si>
  <si>
    <t xml:space="preserve">Opcional</t>
  </si>
  <si>
    <t xml:space="preserve">Bairro</t>
  </si>
  <si>
    <t xml:space="preserve">Centro</t>
  </si>
  <si>
    <t xml:space="preserve">Cidade</t>
  </si>
  <si>
    <t xml:space="preserve">Curitiba</t>
  </si>
  <si>
    <t xml:space="preserve">UF</t>
  </si>
  <si>
    <t xml:space="preserve">PR</t>
  </si>
  <si>
    <t xml:space="preserve">CEP (somente números)</t>
  </si>
  <si>
    <t xml:space="preserve">Endereço completo (gerado)</t>
  </si>
  <si>
    <t xml:space="preserve">Gerado automaticamente</t>
  </si>
  <si>
    <t xml:space="preserve">CONTATO</t>
  </si>
  <si>
    <t xml:space="preserve">Telefone fixo (opcional)</t>
  </si>
  <si>
    <t xml:space="preserve">Celular</t>
  </si>
  <si>
    <t xml:space="preserve">E-mail</t>
  </si>
  <si>
    <t xml:space="preserve">ana.exemplo@email.com</t>
  </si>
  <si>
    <t xml:space="preserve">SITUAÇÃO DA DECLARAÇÃO</t>
  </si>
  <si>
    <t xml:space="preserve">Houve alterações desde a entrega anterior?</t>
  </si>
  <si>
    <t xml:space="preserve">NÃO</t>
  </si>
  <si>
    <t xml:space="preserve">Cônjuge entra como dependente?</t>
  </si>
  <si>
    <t xml:space="preserve">Residente no exterior?</t>
  </si>
  <si>
    <t xml:space="preserve">Possui outros dependentes?</t>
  </si>
  <si>
    <t xml:space="preserve">2 · RENDIMENTOS BANCÁRIOS</t>
  </si>
  <si>
    <t xml:space="preserve">Saldos em 31/12 e rendimentos do ano, por instituição (o que consta nos informes dos bancos)</t>
  </si>
  <si>
    <t xml:space="preserve">Próxima etapa: Entradas ▶</t>
  </si>
  <si>
    <t xml:space="preserve">Um banco por linha (repita o banco se tiver mais de um produto). Marque se já recebeu o informe e cole o nome do arquivo ou o link do PDF — a coluna ‘Abrir’ cria o atalho. Linha 1 = EXEMPLO fictício.</t>
  </si>
  <si>
    <t xml:space="preserve">SALDO TOTAL EM 31/12</t>
  </si>
  <si>
    <t xml:space="preserve">RENDIMENTOS NO ANO</t>
  </si>
  <si>
    <t xml:space="preserve">INFORMES PENDENTES</t>
  </si>
  <si>
    <t xml:space="preserve">Nº</t>
  </si>
  <si>
    <t xml:space="preserve">Banco / instituição</t>
  </si>
  <si>
    <t xml:space="preserve">Tipo de produto</t>
  </si>
  <si>
    <t xml:space="preserve">Saldo em 31/12 (R$)</t>
  </si>
  <si>
    <t xml:space="preserve">Rendimentos no ano (R$)</t>
  </si>
  <si>
    <t xml:space="preserve">Informe recebido?</t>
  </si>
  <si>
    <t xml:space="preserve">Arquivo ou link do informe</t>
  </si>
  <si>
    <t xml:space="preserve">Abrir</t>
  </si>
  <si>
    <t xml:space="preserve">Status</t>
  </si>
  <si>
    <t xml:space="preserve">260 - Nubank</t>
  </si>
  <si>
    <t xml:space="preserve">Conta corrente</t>
  </si>
  <si>
    <t xml:space="preserve">SIM</t>
  </si>
  <si>
    <t xml:space="preserve">informe_nubank_2026.pdf</t>
  </si>
  <si>
    <t xml:space="preserve">3 · ENTRADAS DO ANO</t>
  </si>
  <si>
    <t xml:space="preserve">Holerites, notas de PJ e demais receitas, lançamento por lançamento</t>
  </si>
  <si>
    <t xml:space="preserve">Próxima etapa: Deduções ▶</t>
  </si>
  <si>
    <t xml:space="preserve">Lance cada recebimento em uma linha. A data precisa estar dentro do ano-calendário definido no menu e o IR retido não pode passar do valor bruto. Linha 1 = EXEMPLO fictício.</t>
  </si>
  <si>
    <t xml:space="preserve">Data</t>
  </si>
  <si>
    <t xml:space="preserve">Categoria</t>
  </si>
  <si>
    <t xml:space="preserve">Fonte pagadora</t>
  </si>
  <si>
    <t xml:space="preserve">Valor bruto (R$)</t>
  </si>
  <si>
    <t xml:space="preserve">IR retido (R$)</t>
  </si>
  <si>
    <t xml:space="preserve">Valor líquido (R$)</t>
  </si>
  <si>
    <t xml:space="preserve">Observações</t>
  </si>
  <si>
    <t xml:space="preserve">CATEGORIA</t>
  </si>
  <si>
    <t xml:space="preserve">TOTAL BRUTO</t>
  </si>
  <si>
    <t xml:space="preserve">IR RETIDO</t>
  </si>
  <si>
    <t xml:space="preserve">Holerite (CLT)</t>
  </si>
  <si>
    <t xml:space="preserve">Empresa Exemplo Ltda</t>
  </si>
  <si>
    <t xml:space="preserve">Salário de janeiro</t>
  </si>
  <si>
    <t xml:space="preserve">Lançamentos</t>
  </si>
  <si>
    <t xml:space="preserve">Total líquido</t>
  </si>
  <si>
    <t xml:space="preserve">Conferência (categorias × total)</t>
  </si>
  <si>
    <t xml:space="preserve">4 · DEDUÇÕES E DESPESAS</t>
  </si>
  <si>
    <t xml:space="preserve">Saúde, educação, previdência privada e outras despesas que podem abater do imposto</t>
  </si>
  <si>
    <t xml:space="preserve">Voltar ao menu ▶</t>
  </si>
  <si>
    <t xml:space="preserve">Guarde o comprovante de cada despesa e registre o nome do arquivo ou o link. Esta aba só soma os valores — confira os limites e regras de dedução vigentes no site da Receita. Linha 1 = EXEMPLO fictício.</t>
  </si>
  <si>
    <t xml:space="preserve">Tipo</t>
  </si>
  <si>
    <t xml:space="preserve">Prestador / beneficiário</t>
  </si>
  <si>
    <t xml:space="preserve">CPF ou CNPJ do prestador</t>
  </si>
  <si>
    <t xml:space="preserve">Valor (R$)</t>
  </si>
  <si>
    <t xml:space="preserve">Comprovante (arquivo ou link)</t>
  </si>
  <si>
    <t xml:space="preserve">TIPO</t>
  </si>
  <si>
    <t xml:space="preserve">TOTAL (R$)</t>
  </si>
  <si>
    <t xml:space="preserve">Saúde</t>
  </si>
  <si>
    <t xml:space="preserve">Clínica Exemplo</t>
  </si>
  <si>
    <t xml:space="preserve">12.345.678/0001-90</t>
  </si>
  <si>
    <t xml:space="preserve">recibo_clinica_0312.pdf</t>
  </si>
  <si>
    <t xml:space="preserve">Bancos</t>
  </si>
  <si>
    <t xml:space="preserve">Categorias de entrada</t>
  </si>
  <si>
    <t xml:space="preserve">Tipos de produto</t>
  </si>
  <si>
    <t xml:space="preserve">Tipos de dedução</t>
  </si>
  <si>
    <t xml:space="preserve">Sim/Não</t>
  </si>
  <si>
    <t xml:space="preserve">Aba de apoio das listas suspensas. Para incluir um item, escreva-o no fim da coluna e ajuste o nome definido (Fórmulas &gt; Gerenciador de Nomes).</t>
  </si>
  <si>
    <t xml:space="preserve">1 - Banco do Brasil</t>
  </si>
  <si>
    <t xml:space="preserve">AC</t>
  </si>
  <si>
    <t xml:space="preserve">Solteiro(a)</t>
  </si>
  <si>
    <t xml:space="preserve">102 - XP Investimentos CCTVM S.A.</t>
  </si>
  <si>
    <t xml:space="preserve">Pró-labore</t>
  </si>
  <si>
    <t xml:space="preserve">Poupança</t>
  </si>
  <si>
    <t xml:space="preserve">Educação</t>
  </si>
  <si>
    <t xml:space="preserve">AL</t>
  </si>
  <si>
    <t xml:space="preserve">104 - Caixa Econômica Federal</t>
  </si>
  <si>
    <t xml:space="preserve">CNPJ / PJ</t>
  </si>
  <si>
    <t xml:space="preserve">Renda fixa (CDB/LCI/LCA)</t>
  </si>
  <si>
    <t xml:space="preserve">Previdência privada (PGBL)</t>
  </si>
  <si>
    <t xml:space="preserve">AP</t>
  </si>
  <si>
    <t xml:space="preserve">União estável</t>
  </si>
  <si>
    <t xml:space="preserve">119 - Banco Western Union do Brasil</t>
  </si>
  <si>
    <t xml:space="preserve">Freelance / Autônomo</t>
  </si>
  <si>
    <t xml:space="preserve">Fundos de investimento</t>
  </si>
  <si>
    <t xml:space="preserve">Pensão alimentícia</t>
  </si>
  <si>
    <t xml:space="preserve">AM</t>
  </si>
  <si>
    <t xml:space="preserve">Divorciado(a)</t>
  </si>
  <si>
    <t xml:space="preserve">184 - Banco Itaú BBA S.A.</t>
  </si>
  <si>
    <t xml:space="preserve">Aluguel recebido</t>
  </si>
  <si>
    <t xml:space="preserve">Ações / FIIs / ETFs</t>
  </si>
  <si>
    <t xml:space="preserve">Doações incentivadas</t>
  </si>
  <si>
    <t xml:space="preserve">BA</t>
  </si>
  <si>
    <t xml:space="preserve">Separado(a)</t>
  </si>
  <si>
    <t xml:space="preserve">197 - Stone Pagamentos</t>
  </si>
  <si>
    <t xml:space="preserve">Outros</t>
  </si>
  <si>
    <t xml:space="preserve">Outras</t>
  </si>
  <si>
    <t xml:space="preserve">CE</t>
  </si>
  <si>
    <t xml:space="preserve">Viúvo(a)</t>
  </si>
  <si>
    <t xml:space="preserve">208 - Banco BTG Pactual</t>
  </si>
  <si>
    <t xml:space="preserve">DF</t>
  </si>
  <si>
    <t xml:space="preserve">212 - Banco Original</t>
  </si>
  <si>
    <t xml:space="preserve">ES</t>
  </si>
  <si>
    <t xml:space="preserve">218 - Banco Bonsucesso</t>
  </si>
  <si>
    <t xml:space="preserve">GO</t>
  </si>
  <si>
    <t xml:space="preserve">229 - Banco Cruzeiro do Sul</t>
  </si>
  <si>
    <t xml:space="preserve">MA</t>
  </si>
  <si>
    <t xml:space="preserve">237 - Banco Bradesco</t>
  </si>
  <si>
    <t xml:space="preserve">MT</t>
  </si>
  <si>
    <t xml:space="preserve">24 - Banco de Pernambuco</t>
  </si>
  <si>
    <t xml:space="preserve">MS</t>
  </si>
  <si>
    <t xml:space="preserve">241 - Banco Clássico</t>
  </si>
  <si>
    <t xml:space="preserve">MG</t>
  </si>
  <si>
    <t xml:space="preserve">250 - Banco de Crédito e Varejo (BCV)</t>
  </si>
  <si>
    <t xml:space="preserve">PA</t>
  </si>
  <si>
    <t xml:space="preserve">PB</t>
  </si>
  <si>
    <t xml:space="preserve">29 - Banco do Estado do Rio de Janeiro</t>
  </si>
  <si>
    <t xml:space="preserve">290 - PagBank</t>
  </si>
  <si>
    <t xml:space="preserve">PE</t>
  </si>
  <si>
    <t xml:space="preserve">3 - Banco da Amazônia</t>
  </si>
  <si>
    <t xml:space="preserve">PI</t>
  </si>
  <si>
    <t xml:space="preserve">33 - Banco Santander</t>
  </si>
  <si>
    <t xml:space="preserve">RJ</t>
  </si>
  <si>
    <t xml:space="preserve">336 - C6 Bank</t>
  </si>
  <si>
    <t xml:space="preserve">RN</t>
  </si>
  <si>
    <t xml:space="preserve">341 - Itaú Unibanco</t>
  </si>
  <si>
    <t xml:space="preserve">RS</t>
  </si>
  <si>
    <t xml:space="preserve">37 - Banco do Estado do Pará</t>
  </si>
  <si>
    <t xml:space="preserve">RO</t>
  </si>
  <si>
    <t xml:space="preserve">376 - Banco JPMorgan S.A.</t>
  </si>
  <si>
    <t xml:space="preserve">RR</t>
  </si>
  <si>
    <t xml:space="preserve">380 - PicPay</t>
  </si>
  <si>
    <t xml:space="preserve">SC</t>
  </si>
  <si>
    <t xml:space="preserve">4 - Banco do Nordeste do Brasil</t>
  </si>
  <si>
    <t xml:space="preserve">SP</t>
  </si>
  <si>
    <t xml:space="preserve">41 - Banco do Estado do Rio Grande do Sul</t>
  </si>
  <si>
    <t xml:space="preserve">SE</t>
  </si>
  <si>
    <t xml:space="preserve">422 - Banco Safra</t>
  </si>
  <si>
    <t xml:space="preserve">TO</t>
  </si>
  <si>
    <t xml:space="preserve">44 - Banco BVA</t>
  </si>
  <si>
    <t xml:space="preserve">464 - Banco Sumitomo Mitsui Brasileiro</t>
  </si>
  <si>
    <t xml:space="preserve">477 - Citibank</t>
  </si>
  <si>
    <t xml:space="preserve">600 - Banco Luso Brasileiro</t>
  </si>
  <si>
    <t xml:space="preserve">604 - Banco Industrial do Brasil</t>
  </si>
  <si>
    <t xml:space="preserve">610 - Banco VR</t>
  </si>
  <si>
    <t xml:space="preserve">62 - Hipercard Banco Múltiplo</t>
  </si>
  <si>
    <t xml:space="preserve">634 - Banco Triângulo</t>
  </si>
  <si>
    <t xml:space="preserve">65 - Banco Lemon</t>
  </si>
  <si>
    <t xml:space="preserve">654 - Banco AJ Renner</t>
  </si>
  <si>
    <t xml:space="preserve">655 - Banco Votorantim</t>
  </si>
  <si>
    <t xml:space="preserve">66 - Banco Morgan Stanley</t>
  </si>
  <si>
    <t xml:space="preserve">707 - Banco Daycoval</t>
  </si>
  <si>
    <t xml:space="preserve">72 - Banco Rural Mais</t>
  </si>
  <si>
    <t xml:space="preserve">734 - Banco Gerdau</t>
  </si>
  <si>
    <t xml:space="preserve">735 - Banco Neon</t>
  </si>
  <si>
    <t xml:space="preserve">74 - Banco J. Safra</t>
  </si>
  <si>
    <t xml:space="preserve">746 - Banco Modal</t>
  </si>
  <si>
    <t xml:space="preserve">748 - Banco Cooperativo Sicredi S.A.</t>
  </si>
  <si>
    <t xml:space="preserve">749 - Banco Simples</t>
  </si>
  <si>
    <t xml:space="preserve">77 - Banco Inter</t>
  </si>
  <si>
    <t xml:space="preserve">79 - Banco JBS</t>
  </si>
  <si>
    <t xml:space="preserve">82 - Banco Topázio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</si>
</sst>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&quot;R$ &quot;#,##0.00;[RED]&quot;-R$ &quot;#,##0.00;&quot;R$ &quot;0.00"/>
    <numFmt numFmtId="167" formatCode="0.0%"/>
    <numFmt numFmtId="168" formatCode="#,##0"/>
    <numFmt numFmtId="169" formatCode="000\.000\.000\-00"/>
    <numFmt numFmtId="170" formatCode="dd/mm/yyyy"/>
    <numFmt numFmtId="171" formatCode="000000000000"/>
    <numFmt numFmtId="172" formatCode="@"/>
    <numFmt numFmtId="173" formatCode="00000\-000"/>
    <numFmt numFmtId="174" formatCode="\(00&quot;) &quot;0000\-0000"/>
    <numFmt numFmtId="175" formatCode="\(00&quot;) &quot;00000\-00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0B3C49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1"/>
      <color rgb="FF0B3C4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u val="singl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0B3C4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u val="single"/>
      <sz val="10"/>
      <color rgb="FF2A9D8F"/>
      <name val="Arial"/>
      <family val="0"/>
      <charset val="1"/>
    </font>
    <font>
      <sz val="9"/>
      <color rgb="FF404040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b val="true"/>
      <sz val="13"/>
      <color rgb="FF0B3C4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3C49"/>
        <bgColor rgb="FF003300"/>
      </patternFill>
    </fill>
    <fill>
      <patternFill patternType="solid">
        <fgColor rgb="FFE6F4F1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2A9D8F"/>
        <bgColor rgb="FF008080"/>
      </patternFill>
    </fill>
    <fill>
      <patternFill patternType="solid">
        <fgColor rgb="FFF2F2F2"/>
        <bgColor rgb="FFE6F4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6" fontId="1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4" fontId="14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22" fillId="4" borderId="1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70" fontId="22" fillId="4" borderId="1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71" fontId="22" fillId="4" borderId="1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72" fontId="22" fillId="4" borderId="1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73" fontId="22" fillId="4" borderId="1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4" fontId="14" fillId="6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74" fontId="22" fillId="4" borderId="1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75" fontId="22" fillId="4" borderId="1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4" borderId="1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4" fontId="22" fillId="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2" fillId="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1E7B4F"/>
      </font>
    </dxf>
    <dxf>
      <font>
        <name val="Arial"/>
        <charset val="1"/>
        <family val="0"/>
        <b val="1"/>
        <color rgb="FFB9770E"/>
      </font>
    </dxf>
    <dxf>
      <font>
        <name val="Arial"/>
        <charset val="1"/>
        <family val="0"/>
        <b val="1"/>
        <color rgb="FFC0392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1E7B4F"/>
      <rgbColor rgb="FFBFBFBF"/>
      <rgbColor rgb="FF7F7F7F"/>
      <rgbColor rgb="FF9999FF"/>
      <rgbColor rgb="FF993366"/>
      <rgbColor rgb="FFFFF2CC"/>
      <rgbColor rgb="FFE6F4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9F9F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0B3C49"/>
      <rgbColor rgb="FF2A9D8F"/>
      <rgbColor rgb="FF003300"/>
      <rgbColor rgb="FF333300"/>
      <rgbColor rgb="FFC0392B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Entradas por mês (bruto)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INÍCIO!C17</c:f>
              <c:strCache>
                <c:ptCount val="1"/>
                <c:pt idx="0">
                  <c:v>Bruto (R$)</c:v>
                </c:pt>
              </c:strCache>
            </c:strRef>
          </c:tx>
          <c:spPr>
            <a:solidFill>
              <a:srgbClr val="2a9d8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INÍCIO!$B$18:$B$29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INÍCIO!$C$18:$C$29</c:f>
              <c:numCache>
                <c:formatCode>"R$ "#,##0.00;[RED]"-R$ "#,##0.00;"R$ "0.00</c:formatCode>
                <c:ptCount val="12"/>
                <c:pt idx="0">
                  <c:v>5200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1914861"/>
        <c:axId val="13908790"/>
      </c:barChart>
      <c:catAx>
        <c:axId val="19148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908790"/>
        <c:crosses val="autoZero"/>
        <c:auto val="1"/>
        <c:lblAlgn val="ctr"/>
        <c:lblOffset val="100"/>
        <c:noMultiLvlLbl val="0"/>
      </c:catAx>
      <c:valAx>
        <c:axId val="1390879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148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16</xdr:row>
      <xdr:rowOff>0</xdr:rowOff>
    </xdr:from>
    <xdr:to>
      <xdr:col>9</xdr:col>
      <xdr:colOff>246960</xdr:colOff>
      <xdr:row>31</xdr:row>
      <xdr:rowOff>165960</xdr:rowOff>
    </xdr:to>
    <xdr:graphicFrame>
      <xdr:nvGraphicFramePr>
        <xdr:cNvPr id="0" name="Chart 1"/>
        <xdr:cNvGraphicFramePr/>
      </xdr:nvGraphicFramePr>
      <xdr:xfrm>
        <a:off x="5216040" y="4286160"/>
        <a:ext cx="5039640" cy="302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v.br/receitafederal" TargetMode="External"/><Relationship Id="rId2" Type="http://schemas.openxmlformats.org/officeDocument/2006/relationships/hyperlink" Target="https://mir.receita.fazenda.gov.br/portalmir" TargetMode="External"/><Relationship Id="rId3" Type="http://schemas.openxmlformats.org/officeDocument/2006/relationships/hyperlink" Target="https://cav.receita.fazenda.gov.br/" TargetMode="External"/><Relationship Id="rId4" Type="http://schemas.openxmlformats.org/officeDocument/2006/relationships/hyperlink" Target="https://www.gov.br/" TargetMode="External"/><Relationship Id="rId5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1"/>
    <col collapsed="false" customWidth="true" hidden="false" outlineLevel="0" max="9" min="3" style="0" width="17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5" customFormat="false" ht="24" hidden="false" customHeight="true" outlineLevel="0" collapsed="false">
      <c r="B5" s="3" t="s">
        <v>2</v>
      </c>
      <c r="C5" s="4" t="n">
        <v>2026</v>
      </c>
      <c r="E5" s="3" t="s">
        <v>3</v>
      </c>
      <c r="F5" s="5" t="str">
        <f aca="false">IF(TITULAR!C8="","(preencha a aba TITULAR)",TITULAR!C8)</f>
        <v>Ana Beatriz Exemplo Souza</v>
      </c>
      <c r="G5" s="5"/>
      <c r="H5" s="5"/>
      <c r="I5" s="5"/>
    </row>
    <row r="6" customFormat="false" ht="27.75" hidden="false" customHeight="true" outlineLevel="0" collapsed="false">
      <c r="B6" s="6" t="s">
        <v>4</v>
      </c>
      <c r="C6" s="6"/>
      <c r="D6" s="6"/>
      <c r="E6" s="6"/>
      <c r="F6" s="6"/>
      <c r="G6" s="6"/>
      <c r="H6" s="6"/>
      <c r="I6" s="6"/>
    </row>
    <row r="7" customFormat="false" ht="19.5" hidden="false" customHeight="true" outlineLevel="0" collapsed="false">
      <c r="B7" s="7" t="s">
        <v>5</v>
      </c>
      <c r="C7" s="7"/>
      <c r="D7" s="7"/>
      <c r="E7" s="7"/>
      <c r="F7" s="7"/>
      <c r="G7" s="7"/>
      <c r="H7" s="7"/>
      <c r="I7" s="7"/>
    </row>
    <row r="8" customFormat="false" ht="25.5" hidden="false" customHeight="true" outlineLevel="0" collapsed="false">
      <c r="B8" s="8" t="s">
        <v>6</v>
      </c>
      <c r="C8" s="8"/>
      <c r="D8" s="8" t="s">
        <v>7</v>
      </c>
      <c r="E8" s="8"/>
      <c r="F8" s="8" t="s">
        <v>8</v>
      </c>
      <c r="G8" s="8"/>
      <c r="H8" s="8" t="s">
        <v>9</v>
      </c>
      <c r="I8" s="8"/>
    </row>
    <row r="9" customFormat="false" ht="19.5" hidden="false" customHeight="true" outlineLevel="0" collapsed="false">
      <c r="B9" s="9" t="s">
        <v>10</v>
      </c>
      <c r="C9" s="9"/>
      <c r="D9" s="9" t="s">
        <v>11</v>
      </c>
      <c r="E9" s="9"/>
      <c r="F9" s="9" t="s">
        <v>12</v>
      </c>
      <c r="G9" s="9"/>
      <c r="H9" s="9" t="s">
        <v>13</v>
      </c>
      <c r="I9" s="9"/>
    </row>
    <row r="10" customFormat="false" ht="21.75" hidden="false" customHeight="true" outlineLevel="0" collapsed="false">
      <c r="B10" s="10" t="str">
        <f aca="false">IF(SUMPRODUCT(--(LEFT(TITULAR!$D$8:$D$31,1)="✔"))=(SUMPRODUCT(--(LEFT(TITULAR!$D$8:$D$31,1)="✔"))+SUMPRODUCT(--(LEFT(TITULAR!$D$8:$D$31,1)="⚠"))+SUMPRODUCT(--(LEFT(TITULAR!$D$8:$D$31,1)="✖"))),"✔ Completo",SUMPRODUCT(--(LEFT(TITULAR!$D$8:$D$31,1)="✔"))&amp;" de "&amp;(SUMPRODUCT(--(LEFT(TITULAR!$D$8:$D$31,1)="✔"))+SUMPRODUCT(--(LEFT(TITULAR!$D$8:$D$31,1)="⚠"))+SUMPRODUCT(--(LEFT(TITULAR!$D$8:$D$31,1)="✖")))&amp;" campos ok")</f>
        <v>✔ Completo</v>
      </c>
      <c r="C10" s="10"/>
      <c r="D10" s="10" t="str">
        <f aca="false">IF(SUMPRODUCT(--(LEN(RENDIMENTOS!$J$11:$J$25)&gt;0))=0,"⚠ Nenhum banco lançado",IF(RENDIMENTOS!$E$8=0,"✔ "&amp;SUMPRODUCT(--(LEN(RENDIMENTOS!$J$11:$J$25)&gt;0))&amp;" lançamento(s) ok",RENDIMENTOS!$E$8&amp;" informe(s) pendente(s)"))</f>
        <v>✔ 1 lançamento(s) ok</v>
      </c>
      <c r="E10" s="10"/>
      <c r="F10" s="10" t="str">
        <f aca="false">IF(ENTRADAS!$K$16=0,"⚠ Nenhuma entrada",ENTRADAS!$K$16&amp;" lançamento(s)")</f>
        <v>1 lançamento(s)</v>
      </c>
      <c r="G10" s="10"/>
      <c r="H10" s="10" t="str">
        <f aca="false">IF(DEDUÇÕES!$K$16=0,"Opcional · nada lançado",DEDUÇÕES!$K$16&amp;" lançamento(s)")</f>
        <v>1 lançamento(s)</v>
      </c>
      <c r="I10" s="10"/>
    </row>
    <row r="12" customFormat="false" ht="19.5" hidden="false" customHeight="true" outlineLevel="0" collapsed="false">
      <c r="B12" s="7" t="s">
        <v>14</v>
      </c>
      <c r="C12" s="7"/>
      <c r="D12" s="7"/>
      <c r="E12" s="7"/>
      <c r="F12" s="7"/>
      <c r="G12" s="7"/>
      <c r="H12" s="7"/>
      <c r="I12" s="7"/>
    </row>
    <row r="13" customFormat="false" ht="19.5" hidden="false" customHeight="true" outlineLevel="0" collapsed="false">
      <c r="B13" s="11" t="s">
        <v>15</v>
      </c>
      <c r="C13" s="11"/>
      <c r="D13" s="11" t="s">
        <v>16</v>
      </c>
      <c r="E13" s="11"/>
      <c r="F13" s="11" t="s">
        <v>17</v>
      </c>
      <c r="G13" s="11"/>
      <c r="H13" s="11" t="s">
        <v>18</v>
      </c>
      <c r="I13" s="11"/>
    </row>
    <row r="14" customFormat="false" ht="31.5" hidden="false" customHeight="true" outlineLevel="0" collapsed="false">
      <c r="B14" s="12" t="n">
        <f aca="false">ENTRADAS!$K$14</f>
        <v>5200</v>
      </c>
      <c r="C14" s="12"/>
      <c r="D14" s="12" t="n">
        <f aca="false">ENTRADAS!$L$14</f>
        <v>410.35</v>
      </c>
      <c r="E14" s="12"/>
      <c r="F14" s="12" t="n">
        <f aca="false">RENDIMENTOS!$E$26</f>
        <v>8450.75</v>
      </c>
      <c r="G14" s="12"/>
      <c r="H14" s="12" t="n">
        <f aca="false">DEDUÇÕES!$K$14</f>
        <v>480</v>
      </c>
      <c r="I14" s="12"/>
    </row>
    <row r="16" customFormat="false" ht="19.5" hidden="false" customHeight="true" outlineLevel="0" collapsed="false">
      <c r="B16" s="7" t="s">
        <v>19</v>
      </c>
      <c r="C16" s="7"/>
      <c r="D16" s="7"/>
      <c r="E16" s="7"/>
      <c r="F16" s="7"/>
      <c r="G16" s="7"/>
      <c r="H16" s="7"/>
      <c r="I16" s="7"/>
    </row>
    <row r="17" customFormat="false" ht="15" hidden="false" customHeight="false" outlineLevel="0" collapsed="false">
      <c r="B17" s="13" t="s">
        <v>20</v>
      </c>
      <c r="C17" s="13" t="s">
        <v>21</v>
      </c>
      <c r="D17" s="13" t="s">
        <v>22</v>
      </c>
    </row>
    <row r="18" customFormat="false" ht="15" hidden="false" customHeight="false" outlineLevel="0" collapsed="false">
      <c r="B18" s="14" t="s">
        <v>23</v>
      </c>
      <c r="C18" s="15" t="n">
        <f aca="false">SUMIFS(ENTRADAS!$E$8:$E$207,ENTRADAS!$B$8:$B$207,"&gt;="&amp;DATE(ANO_BASE,1,1),ENTRADAS!$B$8:$B$207,"&lt;"&amp;DATE(ANO_BASE,2,1))</f>
        <v>5200</v>
      </c>
      <c r="D18" s="16" t="n">
        <f aca="false">IF($C$30=0,0,C18/$C$30)</f>
        <v>1</v>
      </c>
    </row>
    <row r="19" customFormat="false" ht="15" hidden="false" customHeight="false" outlineLevel="0" collapsed="false">
      <c r="B19" s="14" t="s">
        <v>24</v>
      </c>
      <c r="C19" s="15" t="n">
        <f aca="false">SUMIFS(ENTRADAS!$E$8:$E$207,ENTRADAS!$B$8:$B$207,"&gt;="&amp;DATE(ANO_BASE,2,1),ENTRADAS!$B$8:$B$207,"&lt;"&amp;DATE(ANO_BASE,3,1))</f>
        <v>0</v>
      </c>
      <c r="D19" s="16" t="n">
        <f aca="false">IF($C$30=0,0,C19/$C$30)</f>
        <v>0</v>
      </c>
    </row>
    <row r="20" customFormat="false" ht="15" hidden="false" customHeight="false" outlineLevel="0" collapsed="false">
      <c r="B20" s="14" t="s">
        <v>25</v>
      </c>
      <c r="C20" s="15" t="n">
        <f aca="false">SUMIFS(ENTRADAS!$E$8:$E$207,ENTRADAS!$B$8:$B$207,"&gt;="&amp;DATE(ANO_BASE,3,1),ENTRADAS!$B$8:$B$207,"&lt;"&amp;DATE(ANO_BASE,4,1))</f>
        <v>0</v>
      </c>
      <c r="D20" s="16" t="n">
        <f aca="false">IF($C$30=0,0,C20/$C$30)</f>
        <v>0</v>
      </c>
    </row>
    <row r="21" customFormat="false" ht="15" hidden="false" customHeight="false" outlineLevel="0" collapsed="false">
      <c r="B21" s="14" t="s">
        <v>26</v>
      </c>
      <c r="C21" s="15" t="n">
        <f aca="false">SUMIFS(ENTRADAS!$E$8:$E$207,ENTRADAS!$B$8:$B$207,"&gt;="&amp;DATE(ANO_BASE,4,1),ENTRADAS!$B$8:$B$207,"&lt;"&amp;DATE(ANO_BASE,5,1))</f>
        <v>0</v>
      </c>
      <c r="D21" s="16" t="n">
        <f aca="false">IF($C$30=0,0,C21/$C$30)</f>
        <v>0</v>
      </c>
    </row>
    <row r="22" customFormat="false" ht="15" hidden="false" customHeight="false" outlineLevel="0" collapsed="false">
      <c r="B22" s="14" t="s">
        <v>27</v>
      </c>
      <c r="C22" s="15" t="n">
        <f aca="false">SUMIFS(ENTRADAS!$E$8:$E$207,ENTRADAS!$B$8:$B$207,"&gt;="&amp;DATE(ANO_BASE,5,1),ENTRADAS!$B$8:$B$207,"&lt;"&amp;DATE(ANO_BASE,6,1))</f>
        <v>0</v>
      </c>
      <c r="D22" s="16" t="n">
        <f aca="false">IF($C$30=0,0,C22/$C$30)</f>
        <v>0</v>
      </c>
    </row>
    <row r="23" customFormat="false" ht="15" hidden="false" customHeight="false" outlineLevel="0" collapsed="false">
      <c r="B23" s="14" t="s">
        <v>28</v>
      </c>
      <c r="C23" s="15" t="n">
        <f aca="false">SUMIFS(ENTRADAS!$E$8:$E$207,ENTRADAS!$B$8:$B$207,"&gt;="&amp;DATE(ANO_BASE,6,1),ENTRADAS!$B$8:$B$207,"&lt;"&amp;DATE(ANO_BASE,7,1))</f>
        <v>0</v>
      </c>
      <c r="D23" s="16" t="n">
        <f aca="false">IF($C$30=0,0,C23/$C$30)</f>
        <v>0</v>
      </c>
    </row>
    <row r="24" customFormat="false" ht="15" hidden="false" customHeight="false" outlineLevel="0" collapsed="false">
      <c r="B24" s="14" t="s">
        <v>29</v>
      </c>
      <c r="C24" s="15" t="n">
        <f aca="false">SUMIFS(ENTRADAS!$E$8:$E$207,ENTRADAS!$B$8:$B$207,"&gt;="&amp;DATE(ANO_BASE,7,1),ENTRADAS!$B$8:$B$207,"&lt;"&amp;DATE(ANO_BASE,8,1))</f>
        <v>0</v>
      </c>
      <c r="D24" s="16" t="n">
        <f aca="false">IF($C$30=0,0,C24/$C$30)</f>
        <v>0</v>
      </c>
    </row>
    <row r="25" customFormat="false" ht="15" hidden="false" customHeight="false" outlineLevel="0" collapsed="false">
      <c r="B25" s="14" t="s">
        <v>30</v>
      </c>
      <c r="C25" s="15" t="n">
        <f aca="false">SUMIFS(ENTRADAS!$E$8:$E$207,ENTRADAS!$B$8:$B$207,"&gt;="&amp;DATE(ANO_BASE,8,1),ENTRADAS!$B$8:$B$207,"&lt;"&amp;DATE(ANO_BASE,9,1))</f>
        <v>0</v>
      </c>
      <c r="D25" s="16" t="n">
        <f aca="false">IF($C$30=0,0,C25/$C$30)</f>
        <v>0</v>
      </c>
    </row>
    <row r="26" customFormat="false" ht="15" hidden="false" customHeight="false" outlineLevel="0" collapsed="false">
      <c r="B26" s="14" t="s">
        <v>31</v>
      </c>
      <c r="C26" s="15" t="n">
        <f aca="false">SUMIFS(ENTRADAS!$E$8:$E$207,ENTRADAS!$B$8:$B$207,"&gt;="&amp;DATE(ANO_BASE,9,1),ENTRADAS!$B$8:$B$207,"&lt;"&amp;DATE(ANO_BASE,10,1))</f>
        <v>0</v>
      </c>
      <c r="D26" s="16" t="n">
        <f aca="false">IF($C$30=0,0,C26/$C$30)</f>
        <v>0</v>
      </c>
    </row>
    <row r="27" customFormat="false" ht="15" hidden="false" customHeight="false" outlineLevel="0" collapsed="false">
      <c r="B27" s="14" t="s">
        <v>32</v>
      </c>
      <c r="C27" s="15" t="n">
        <f aca="false">SUMIFS(ENTRADAS!$E$8:$E$207,ENTRADAS!$B$8:$B$207,"&gt;="&amp;DATE(ANO_BASE,10,1),ENTRADAS!$B$8:$B$207,"&lt;"&amp;DATE(ANO_BASE,11,1))</f>
        <v>0</v>
      </c>
      <c r="D27" s="16" t="n">
        <f aca="false">IF($C$30=0,0,C27/$C$30)</f>
        <v>0</v>
      </c>
    </row>
    <row r="28" customFormat="false" ht="15" hidden="false" customHeight="false" outlineLevel="0" collapsed="false">
      <c r="B28" s="14" t="s">
        <v>33</v>
      </c>
      <c r="C28" s="15" t="n">
        <f aca="false">SUMIFS(ENTRADAS!$E$8:$E$207,ENTRADAS!$B$8:$B$207,"&gt;="&amp;DATE(ANO_BASE,11,1),ENTRADAS!$B$8:$B$207,"&lt;"&amp;DATE(ANO_BASE,12,1))</f>
        <v>0</v>
      </c>
      <c r="D28" s="16" t="n">
        <f aca="false">IF($C$30=0,0,C28/$C$30)</f>
        <v>0</v>
      </c>
    </row>
    <row r="29" customFormat="false" ht="15" hidden="false" customHeight="false" outlineLevel="0" collapsed="false">
      <c r="B29" s="14" t="s">
        <v>34</v>
      </c>
      <c r="C29" s="15" t="n">
        <f aca="false">SUMIFS(ENTRADAS!$E$8:$E$207,ENTRADAS!$B$8:$B$207,"&gt;="&amp;DATE(ANO_BASE,12,1),ENTRADAS!$B$8:$B$207,"&lt;"&amp;DATE(ANO_BASE,13,1))</f>
        <v>0</v>
      </c>
      <c r="D29" s="16" t="n">
        <f aca="false">IF($C$30=0,0,C29/$C$30)</f>
        <v>0</v>
      </c>
    </row>
    <row r="30" customFormat="false" ht="15" hidden="false" customHeight="false" outlineLevel="0" collapsed="false">
      <c r="B30" s="17" t="s">
        <v>35</v>
      </c>
      <c r="C30" s="18" t="n">
        <f aca="false">SUM(C18:C29)</f>
        <v>5200</v>
      </c>
      <c r="D30" s="19" t="n">
        <f aca="false">SUM(D18:D29)</f>
        <v>1</v>
      </c>
    </row>
    <row r="31" customFormat="false" ht="15" hidden="false" customHeight="false" outlineLevel="0" collapsed="false">
      <c r="B31" s="20" t="str">
        <f aca="false">IF(ROUND(C30-ENTRADAS!$K$14,2)=0,"✔ Soma confere com a aba ENTRADAS","⚠ Há entradas fora do ano-calendário")</f>
        <v>✔ Soma confere com a aba ENTRADAS</v>
      </c>
      <c r="C31" s="20"/>
      <c r="D31" s="20"/>
    </row>
    <row r="33" customFormat="false" ht="19.5" hidden="false" customHeight="true" outlineLevel="0" collapsed="false">
      <c r="B33" s="7" t="s">
        <v>36</v>
      </c>
      <c r="C33" s="7"/>
      <c r="D33" s="7"/>
      <c r="E33" s="7"/>
      <c r="F33" s="7"/>
      <c r="G33" s="7"/>
      <c r="H33" s="7"/>
      <c r="I33" s="7"/>
    </row>
    <row r="34" customFormat="false" ht="21.75" hidden="false" customHeight="true" outlineLevel="0" collapsed="false">
      <c r="B34" s="21" t="s">
        <v>37</v>
      </c>
      <c r="C34" s="21"/>
      <c r="D34" s="22" t="s">
        <v>38</v>
      </c>
      <c r="E34" s="22"/>
      <c r="F34" s="22"/>
      <c r="G34" s="22"/>
      <c r="H34" s="22"/>
      <c r="I34" s="22"/>
    </row>
    <row r="35" customFormat="false" ht="21.75" hidden="false" customHeight="true" outlineLevel="0" collapsed="false">
      <c r="B35" s="21" t="s">
        <v>39</v>
      </c>
      <c r="C35" s="21"/>
      <c r="D35" s="22" t="s">
        <v>40</v>
      </c>
      <c r="E35" s="22"/>
      <c r="F35" s="22"/>
      <c r="G35" s="22"/>
      <c r="H35" s="22"/>
      <c r="I35" s="22"/>
    </row>
    <row r="36" customFormat="false" ht="21.75" hidden="false" customHeight="true" outlineLevel="0" collapsed="false">
      <c r="B36" s="21" t="s">
        <v>41</v>
      </c>
      <c r="C36" s="21"/>
      <c r="D36" s="22" t="s">
        <v>42</v>
      </c>
      <c r="E36" s="22"/>
      <c r="F36" s="22"/>
      <c r="G36" s="22"/>
      <c r="H36" s="22"/>
      <c r="I36" s="22"/>
    </row>
    <row r="37" customFormat="false" ht="21.75" hidden="false" customHeight="true" outlineLevel="0" collapsed="false">
      <c r="B37" s="21" t="s">
        <v>43</v>
      </c>
      <c r="C37" s="21"/>
      <c r="D37" s="22" t="s">
        <v>44</v>
      </c>
      <c r="E37" s="22"/>
      <c r="F37" s="22"/>
      <c r="G37" s="22"/>
      <c r="H37" s="22"/>
      <c r="I37" s="22"/>
    </row>
    <row r="39" customFormat="false" ht="25.5" hidden="false" customHeight="true" outlineLevel="0" collapsed="false">
      <c r="B39" s="23" t="s">
        <v>45</v>
      </c>
      <c r="C39" s="23"/>
      <c r="D39" s="23"/>
      <c r="E39" s="23"/>
      <c r="F39" s="23"/>
      <c r="G39" s="23"/>
      <c r="H39" s="23"/>
      <c r="I39" s="23"/>
    </row>
  </sheetData>
  <sheetProtection sheet="true" formatColumns="false" formatRows="false"/>
  <mergeCells count="38">
    <mergeCell ref="B2:I2"/>
    <mergeCell ref="B3:I3"/>
    <mergeCell ref="F5:I5"/>
    <mergeCell ref="B6:I6"/>
    <mergeCell ref="B7:I7"/>
    <mergeCell ref="B8:C8"/>
    <mergeCell ref="D8:E8"/>
    <mergeCell ref="F8:G8"/>
    <mergeCell ref="H8:I8"/>
    <mergeCell ref="B9:C9"/>
    <mergeCell ref="D9:E9"/>
    <mergeCell ref="F9:G9"/>
    <mergeCell ref="H9:I9"/>
    <mergeCell ref="B10:C10"/>
    <mergeCell ref="D10:E10"/>
    <mergeCell ref="F10:G10"/>
    <mergeCell ref="H10:I10"/>
    <mergeCell ref="B12:I12"/>
    <mergeCell ref="B13:C13"/>
    <mergeCell ref="D13:E13"/>
    <mergeCell ref="F13:G13"/>
    <mergeCell ref="H13:I13"/>
    <mergeCell ref="B14:C14"/>
    <mergeCell ref="D14:E14"/>
    <mergeCell ref="F14:G14"/>
    <mergeCell ref="H14:I14"/>
    <mergeCell ref="B16:I16"/>
    <mergeCell ref="B31:D31"/>
    <mergeCell ref="B33:I33"/>
    <mergeCell ref="B34:C34"/>
    <mergeCell ref="D34:I34"/>
    <mergeCell ref="B35:C35"/>
    <mergeCell ref="D35:I35"/>
    <mergeCell ref="B36:C36"/>
    <mergeCell ref="D36:I36"/>
    <mergeCell ref="B37:C37"/>
    <mergeCell ref="D37:I37"/>
    <mergeCell ref="B39:I39"/>
  </mergeCells>
  <conditionalFormatting sqref="B10:I10">
    <cfRule type="expression" priority="2" aboveAverage="0" equalAverage="0" bottom="0" percent="0" rank="0" text="" dxfId="0">
      <formula>LEFT(B10,1)="✔"</formula>
    </cfRule>
    <cfRule type="expression" priority="3" aboveAverage="0" equalAverage="0" bottom="0" percent="0" rank="0" text="" dxfId="1">
      <formula>LEFT(B10,1)="⚠"</formula>
    </cfRule>
    <cfRule type="expression" priority="4" aboveAverage="0" equalAverage="0" bottom="0" percent="0" rank="0" text="" dxfId="2">
      <formula>LEFT(B10,1)="✖"</formula>
    </cfRule>
    <cfRule type="expression" priority="5" aboveAverage="0" equalAverage="0" bottom="0" percent="0" rank="0" text="" dxfId="1">
      <formula>ISNUMBER(SEARCH("pendente",B10))</formula>
    </cfRule>
  </conditionalFormatting>
  <conditionalFormatting sqref="B31">
    <cfRule type="expression" priority="6" aboveAverage="0" equalAverage="0" bottom="0" percent="0" rank="0" text="" dxfId="0">
      <formula>LEFT(B31,1)="✔"</formula>
    </cfRule>
    <cfRule type="expression" priority="7" aboveAverage="0" equalAverage="0" bottom="0" percent="0" rank="0" text="" dxfId="1">
      <formula>LEFT(B31,1)="⚠"</formula>
    </cfRule>
    <cfRule type="expression" priority="8" aboveAverage="0" equalAverage="0" bottom="0" percent="0" rank="0" text="" dxfId="2">
      <formula>LEFT(B31,1)="✖"</formula>
    </cfRule>
  </conditionalFormatting>
  <dataValidations count="1">
    <dataValidation allowBlank="true" error="Informe um ano com 4 dígitos (ex.: 2026)." errorStyle="stop" errorTitle="Ano inválido" operator="between" prompt="Ano dos rendimentos que serão declarados. Controla as validações de data." promptTitle="Ano-calendário" showDropDown="false" showErrorMessage="true" showInputMessage="true" sqref="C5" type="whole">
      <formula1>2000</formula1>
      <formula2>2100</formula2>
    </dataValidation>
  </dataValidations>
  <hyperlinks>
    <hyperlink ref="B8" location="'TITULAR'!A1" display="1 · TITULAR"/>
    <hyperlink ref="D8" location="'RENDIMENTOS'!A1" display="2 · RENDIMENTOS"/>
    <hyperlink ref="F8" location="'ENTRADAS'!A1" display="3 · ENTRADAS"/>
    <hyperlink ref="H8" location="'DEDUÇÕES'!A1" display="4 · DEDUÇÕES"/>
    <hyperlink ref="B34" r:id="rId1" display="Receita Federal ↗"/>
    <hyperlink ref="B35" r:id="rId2" display="Meu Imposto de Renda ↗"/>
    <hyperlink ref="B36" r:id="rId3" display="Portal e-CAC ↗"/>
    <hyperlink ref="B37" r:id="rId4" display="Conta gov.br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46"/>
    <col collapsed="false" customWidth="true" hidden="false" outlineLevel="0" max="4" min="4" style="0" width="30"/>
  </cols>
  <sheetData>
    <row r="2" customFormat="false" ht="30" hidden="false" customHeight="true" outlineLevel="0" collapsed="false">
      <c r="B2" s="1" t="s">
        <v>46</v>
      </c>
      <c r="C2" s="1"/>
      <c r="D2" s="1"/>
    </row>
    <row r="3" customFormat="false" ht="19.5" hidden="false" customHeight="true" outlineLevel="0" collapsed="false">
      <c r="B3" s="2" t="s">
        <v>47</v>
      </c>
      <c r="C3" s="2"/>
      <c r="D3" s="2"/>
    </row>
    <row r="4" customFormat="false" ht="15" hidden="false" customHeight="false" outlineLevel="0" collapsed="false">
      <c r="B4" s="24" t="s">
        <v>48</v>
      </c>
      <c r="D4" s="25" t="s">
        <v>49</v>
      </c>
    </row>
    <row r="5" customFormat="false" ht="27.75" hidden="false" customHeight="true" outlineLevel="0" collapsed="false">
      <c r="B5" s="6" t="s">
        <v>50</v>
      </c>
      <c r="C5" s="6"/>
      <c r="D5" s="6"/>
    </row>
    <row r="7" customFormat="false" ht="19.5" hidden="false" customHeight="true" outlineLevel="0" collapsed="false">
      <c r="B7" s="7" t="s">
        <v>51</v>
      </c>
      <c r="C7" s="7"/>
      <c r="D7" s="7"/>
    </row>
    <row r="8" customFormat="false" ht="21.75" hidden="false" customHeight="true" outlineLevel="0" collapsed="false">
      <c r="B8" s="3" t="s">
        <v>52</v>
      </c>
      <c r="C8" s="26" t="s">
        <v>53</v>
      </c>
      <c r="D8" s="27" t="str">
        <f aca="false">IF(C8="","⚠ Obrigatório","✔")</f>
        <v>✔</v>
      </c>
    </row>
    <row r="9" customFormat="false" ht="21.75" hidden="false" customHeight="true" outlineLevel="0" collapsed="false">
      <c r="B9" s="3" t="s">
        <v>54</v>
      </c>
      <c r="C9" s="28" t="n">
        <v>52998224725</v>
      </c>
      <c r="D9" s="27" t="str">
        <f aca="false">IF(C9="","⚠ Obrigatório",IF(AND(MOD(C9,11111111111)&lt;&gt;0,MOD(MOD(SUMPRODUCT(--MID(TEXT(C9,"00000000000"),{1,2,3,4,5,6,7,8,9},1),{10,9,8,7,6,5,4,3,2})*10,11),10)=--MID(TEXT(C9,"00000000000"),10,1),MOD(MOD(SUMPRODUCT(--MID(TEXT(C9,"00000000000"),{1,2,3,4,5,6,7,8,9,10},1),{11,10,9,8,7,6,5,4,3,2})*10,11),10)=--MID(TEXT(C9,"00000000000"),11,1)),"✔ CPF válido","✖ CPF inválido"))</f>
        <v>✔ CPF válido</v>
      </c>
    </row>
    <row r="10" customFormat="false" ht="21.75" hidden="false" customHeight="true" outlineLevel="0" collapsed="false">
      <c r="B10" s="3" t="s">
        <v>55</v>
      </c>
      <c r="C10" s="29" t="n">
        <v>33007</v>
      </c>
      <c r="D10" s="27" t="str">
        <f aca="true">IF(C10="","⚠ Obrigatório","✔ "&amp;DATEDIF(C10,TODAY(),"Y")&amp;" anos")</f>
        <v>✔ 36 anos</v>
      </c>
    </row>
    <row r="11" customFormat="false" ht="21.75" hidden="false" customHeight="true" outlineLevel="0" collapsed="false">
      <c r="B11" s="3" t="s">
        <v>56</v>
      </c>
      <c r="C11" s="30" t="n">
        <v>123456789012</v>
      </c>
      <c r="D11" s="27" t="str">
        <f aca="false">IF(C11="","⚠ Obrigatório","✔")</f>
        <v>✔</v>
      </c>
    </row>
    <row r="12" customFormat="false" ht="21.75" hidden="false" customHeight="true" outlineLevel="0" collapsed="false">
      <c r="B12" s="3" t="s">
        <v>57</v>
      </c>
      <c r="C12" s="26" t="s">
        <v>58</v>
      </c>
      <c r="D12" s="27" t="str">
        <f aca="false">IF(C12="","⚠ Obrigatório","✔")</f>
        <v>✔</v>
      </c>
    </row>
    <row r="13" customFormat="false" ht="21.75" hidden="false" customHeight="true" outlineLevel="0" collapsed="false">
      <c r="B13" s="3" t="s">
        <v>59</v>
      </c>
      <c r="C13" s="26" t="s">
        <v>60</v>
      </c>
      <c r="D13" s="27" t="str">
        <f aca="false">IF(OR(C12="Casado(a)",C12="União estável"),IF(C13="","⚠ Informe o cônjuge","✔"),"Opcional")</f>
        <v>✔</v>
      </c>
    </row>
    <row r="14" customFormat="false" ht="19.5" hidden="false" customHeight="true" outlineLevel="0" collapsed="false">
      <c r="B14" s="7" t="s">
        <v>61</v>
      </c>
      <c r="C14" s="7"/>
      <c r="D14" s="7"/>
    </row>
    <row r="15" customFormat="false" ht="21.75" hidden="false" customHeight="true" outlineLevel="0" collapsed="false">
      <c r="B15" s="3" t="s">
        <v>62</v>
      </c>
      <c r="C15" s="26" t="s">
        <v>63</v>
      </c>
      <c r="D15" s="27" t="str">
        <f aca="false">IF(C15="","⚠ Obrigatório","✔")</f>
        <v>✔</v>
      </c>
    </row>
    <row r="16" customFormat="false" ht="21.75" hidden="false" customHeight="true" outlineLevel="0" collapsed="false">
      <c r="B16" s="3" t="s">
        <v>64</v>
      </c>
      <c r="C16" s="31" t="s">
        <v>65</v>
      </c>
      <c r="D16" s="27" t="str">
        <f aca="false">IF(C16="","⚠ Obrigatório","✔")</f>
        <v>✔</v>
      </c>
    </row>
    <row r="17" customFormat="false" ht="21.75" hidden="false" customHeight="true" outlineLevel="0" collapsed="false">
      <c r="B17" s="3" t="s">
        <v>66</v>
      </c>
      <c r="C17" s="26" t="s">
        <v>67</v>
      </c>
      <c r="D17" s="27" t="s">
        <v>68</v>
      </c>
    </row>
    <row r="18" customFormat="false" ht="21.75" hidden="false" customHeight="true" outlineLevel="0" collapsed="false">
      <c r="B18" s="3" t="s">
        <v>69</v>
      </c>
      <c r="C18" s="26" t="s">
        <v>70</v>
      </c>
      <c r="D18" s="27" t="str">
        <f aca="false">IF(C18="","⚠ Obrigatório","✔")</f>
        <v>✔</v>
      </c>
    </row>
    <row r="19" customFormat="false" ht="21.75" hidden="false" customHeight="true" outlineLevel="0" collapsed="false">
      <c r="B19" s="3" t="s">
        <v>71</v>
      </c>
      <c r="C19" s="26" t="s">
        <v>72</v>
      </c>
      <c r="D19" s="27" t="str">
        <f aca="false">IF(C19="","⚠ Obrigatório","✔")</f>
        <v>✔</v>
      </c>
    </row>
    <row r="20" customFormat="false" ht="21.75" hidden="false" customHeight="true" outlineLevel="0" collapsed="false">
      <c r="B20" s="3" t="s">
        <v>73</v>
      </c>
      <c r="C20" s="26" t="s">
        <v>74</v>
      </c>
      <c r="D20" s="27" t="str">
        <f aca="false">IF(C20="","⚠ Obrigatório","✔")</f>
        <v>✔</v>
      </c>
    </row>
    <row r="21" customFormat="false" ht="21.75" hidden="false" customHeight="true" outlineLevel="0" collapsed="false">
      <c r="B21" s="3" t="s">
        <v>75</v>
      </c>
      <c r="C21" s="32" t="n">
        <v>80010000</v>
      </c>
      <c r="D21" s="27" t="str">
        <f aca="false">IF(C21="","⚠ Obrigatório","✔")</f>
        <v>✔</v>
      </c>
    </row>
    <row r="22" customFormat="false" ht="33.75" hidden="false" customHeight="true" outlineLevel="0" collapsed="false">
      <c r="B22" s="3" t="s">
        <v>76</v>
      </c>
      <c r="C22" s="33" t="str">
        <f aca="false">IF(C15="","",C15&amp;", "&amp;C16&amp;IF(C17="",""," - "&amp;C17)&amp;" · "&amp;C18&amp;" · "&amp;C19&amp;"/"&amp;C20&amp;" · CEP "&amp;TEXT(C21,"00000-000"))</f>
        <v>Rua das Acácias, 250 - Apto 41 · Centro · Curitiba/PR · CEP 80010-000</v>
      </c>
      <c r="D22" s="27" t="s">
        <v>77</v>
      </c>
    </row>
    <row r="23" customFormat="false" ht="19.5" hidden="false" customHeight="true" outlineLevel="0" collapsed="false">
      <c r="B23" s="7" t="s">
        <v>78</v>
      </c>
      <c r="C23" s="7"/>
      <c r="D23" s="7"/>
    </row>
    <row r="24" customFormat="false" ht="21.75" hidden="false" customHeight="true" outlineLevel="0" collapsed="false">
      <c r="B24" s="3" t="s">
        <v>79</v>
      </c>
      <c r="C24" s="34" t="n">
        <v>4133334444</v>
      </c>
      <c r="D24" s="27" t="s">
        <v>68</v>
      </c>
    </row>
    <row r="25" customFormat="false" ht="21.75" hidden="false" customHeight="true" outlineLevel="0" collapsed="false">
      <c r="B25" s="3" t="s">
        <v>80</v>
      </c>
      <c r="C25" s="35" t="n">
        <v>41999998888</v>
      </c>
      <c r="D25" s="27" t="str">
        <f aca="false">IF(C25="","⚠ Obrigatório","✔")</f>
        <v>✔</v>
      </c>
    </row>
    <row r="26" customFormat="false" ht="21.75" hidden="false" customHeight="true" outlineLevel="0" collapsed="false">
      <c r="B26" s="3" t="s">
        <v>81</v>
      </c>
      <c r="C26" s="26" t="s">
        <v>82</v>
      </c>
      <c r="D26" s="27" t="str">
        <f aca="false">IF(C26="","⚠ Obrigatório",IF(ISNUMBER(FIND("@",C26)),IF(ISNUMBER(FIND(".",C26,FIND("@",C26))),"✔","✖ E-mail inválido"),"✖ E-mail inválido"))</f>
        <v>✔</v>
      </c>
    </row>
    <row r="27" customFormat="false" ht="19.5" hidden="false" customHeight="true" outlineLevel="0" collapsed="false">
      <c r="B27" s="7" t="s">
        <v>83</v>
      </c>
      <c r="C27" s="7"/>
      <c r="D27" s="7"/>
    </row>
    <row r="28" customFormat="false" ht="21.75" hidden="false" customHeight="true" outlineLevel="0" collapsed="false">
      <c r="B28" s="3" t="s">
        <v>84</v>
      </c>
      <c r="C28" s="26" t="s">
        <v>85</v>
      </c>
      <c r="D28" s="27" t="str">
        <f aca="false">IF(C28="","⚠ Obrigatório","✔")</f>
        <v>✔</v>
      </c>
    </row>
    <row r="29" customFormat="false" ht="21.75" hidden="false" customHeight="true" outlineLevel="0" collapsed="false">
      <c r="B29" s="3" t="s">
        <v>86</v>
      </c>
      <c r="C29" s="26" t="s">
        <v>85</v>
      </c>
      <c r="D29" s="27" t="str">
        <f aca="false">IF(C29="","⚠ Obrigatório","✔")</f>
        <v>✔</v>
      </c>
    </row>
    <row r="30" customFormat="false" ht="21.75" hidden="false" customHeight="true" outlineLevel="0" collapsed="false">
      <c r="B30" s="3" t="s">
        <v>87</v>
      </c>
      <c r="C30" s="26" t="s">
        <v>85</v>
      </c>
      <c r="D30" s="27" t="str">
        <f aca="false">IF(C30="","⚠ Obrigatório","✔")</f>
        <v>✔</v>
      </c>
    </row>
    <row r="31" customFormat="false" ht="21.75" hidden="false" customHeight="true" outlineLevel="0" collapsed="false">
      <c r="B31" s="3" t="s">
        <v>88</v>
      </c>
      <c r="C31" s="26" t="s">
        <v>85</v>
      </c>
      <c r="D31" s="27" t="str">
        <f aca="false">IF(C31="","⚠ Obrigatório","✔")</f>
        <v>✔</v>
      </c>
    </row>
  </sheetData>
  <sheetProtection sheet="true" formatColumns="false" formatRows="false"/>
  <mergeCells count="7">
    <mergeCell ref="B2:D2"/>
    <mergeCell ref="B3:D3"/>
    <mergeCell ref="B5:D5"/>
    <mergeCell ref="B7:D7"/>
    <mergeCell ref="B14:D14"/>
    <mergeCell ref="B23:D23"/>
    <mergeCell ref="B27:D27"/>
  </mergeCells>
  <conditionalFormatting sqref="D8:D31">
    <cfRule type="expression" priority="2" aboveAverage="0" equalAverage="0" bottom="0" percent="0" rank="0" text="" dxfId="0">
      <formula>LEFT(D8,1)="✔"</formula>
    </cfRule>
    <cfRule type="expression" priority="3" aboveAverage="0" equalAverage="0" bottom="0" percent="0" rank="0" text="" dxfId="1">
      <formula>LEFT(D8,1)="⚠"</formula>
    </cfRule>
    <cfRule type="expression" priority="4" aboveAverage="0" equalAverage="0" bottom="0" percent="0" rank="0" text="" dxfId="2">
      <formula>LEFT(D8,1)="✖"</formula>
    </cfRule>
  </conditionalFormatting>
  <dataValidations count="11">
    <dataValidation allowBlank="true" error="Informe o nome completo (mínimo de 5 caracteres)." errorStyle="stop" errorTitle="Nome inválido" operator="greaterThanOrEqual" prompt="Como está no CPF." promptTitle="Nome completo" showDropDown="false" showErrorMessage="true" showInputMessage="true" sqref="C8" type="textLength">
      <formula1>5</formula1>
      <formula2>0</formula2>
    </dataValidation>
    <dataValidation allowBlank="true" error="Digite apenas os 11 números do CPF, sem pontos ou traço." errorStyle="stop" errorTitle="CPF inválido" operator="between" prompt="Somente números. O status ao lado confere os dígitos verificadores." promptTitle="CPF" showDropDown="false" showErrorMessage="true" showInputMessage="true" sqref="C9" type="whole">
      <formula1>1</formula1>
      <formula2>99999999999</formula2>
    </dataValidation>
    <dataValidation allowBlank="true" error="Informe uma data de nascimento entre 1900 e hoje (dd/mm/aaaa)." errorStyle="stop" errorTitle="Data inválida" operator="between" showDropDown="false" showErrorMessage="true" showInputMessage="true" sqref="C10" type="date">
      <formula1>DATE(1900,1,1)</formula1>
      <formula2>TODAY()</formula2>
    </dataValidation>
    <dataValidation allowBlank="true" error="Digite apenas os 12 números do título de eleitor." errorStyle="stop" errorTitle="Título inválido" operator="between" showDropDown="false" showErrorMessage="true" showInputMessage="true" sqref="C11" type="whole">
      <formula1>1</formula1>
      <formula2>999999999999</formula2>
    </dataValidation>
    <dataValidation allowBlank="true" error="Escolha uma opção da lista." errorStyle="stop" errorTitle="Opção inválida" operator="between" showDropDown="false" showErrorMessage="true" showInputMessage="true" sqref="C12" type="list">
      <formula1>ESTADO_CIVIL</formula1>
      <formula2>0</formula2>
    </dataValidation>
    <dataValidation allowBlank="true" error="Escolha uma UF da lista." errorStyle="stop" errorTitle="UF inválida" operator="between" showDropDown="false" showErrorMessage="true" showInputMessage="true" sqref="C20" type="list">
      <formula1>UFS</formula1>
      <formula2>0</formula2>
    </dataValidation>
    <dataValidation allowBlank="true" error="Digite apenas os 8 números do CEP, sem hífen." errorStyle="stop" errorTitle="CEP inválido" operator="between" showDropDown="false" showErrorMessage="true" showInputMessage="true" sqref="C21" type="whole">
      <formula1>1000000</formula1>
      <formula2>99999999</formula2>
    </dataValidation>
    <dataValidation allowBlank="true" error="Digite DDD + 8 dígitos, sem espaços ou símbolos." errorStyle="stop" errorTitle="Telefone inválido" operator="between" showDropDown="false" showErrorMessage="true" showInputMessage="true" sqref="C24" type="whole">
      <formula1>1000000000</formula1>
      <formula2>9999999999</formula2>
    </dataValidation>
    <dataValidation allowBlank="true" error="Digite DDD + 9 dígitos, sem espaços ou símbolos." errorStyle="stop" errorTitle="Celular inválido" operator="between" showDropDown="false" showErrorMessage="true" showInputMessage="true" sqref="C25" type="whole">
      <formula1>10000000000</formula1>
      <formula2>99999999999</formula2>
    </dataValidation>
    <dataValidation allowBlank="true" error="Informe um e-mail válido, por exemplo nome@dominio.com." errorStyle="stop" errorTitle="E-mail inválido" operator="between" showDropDown="false" showErrorMessage="true" showInputMessage="true" sqref="C26" type="custom">
      <formula1>AND(ISNUMBER(FIND("@",C26)),LEN(C26)&gt;5)</formula1>
      <formula2>0</formula2>
    </dataValidation>
    <dataValidation allowBlank="true" error="Escolha SIM ou NÃO." errorStyle="stop" errorTitle="Opção inválida" operator="between" showDropDown="false" showErrorMessage="true" showInputMessage="true" sqref="C28:C31" type="list">
      <formula1>SIMNAO</formula1>
      <formula2>0</formula2>
    </dataValidation>
  </dataValidations>
  <hyperlinks>
    <hyperlink ref="B4" location="'INÍCIO'!A1" display="◀ Menu principal"/>
    <hyperlink ref="D4" location="'RENDIMENTOS'!A1" display="Próxima etapa: Rendimentos ▶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40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34"/>
    <col collapsed="false" customWidth="true" hidden="false" outlineLevel="0" max="9" min="9" style="0" width="12"/>
    <col collapsed="false" customWidth="true" hidden="false" outlineLevel="0" max="10" min="10" style="0" width="18"/>
  </cols>
  <sheetData>
    <row r="2" customFormat="false" ht="30" hidden="false" customHeight="true" outlineLevel="0" collapsed="false">
      <c r="B2" s="1" t="s">
        <v>89</v>
      </c>
      <c r="C2" s="1"/>
      <c r="D2" s="1"/>
      <c r="E2" s="1"/>
      <c r="F2" s="1"/>
      <c r="G2" s="1"/>
      <c r="H2" s="1"/>
      <c r="I2" s="1"/>
      <c r="J2" s="1"/>
    </row>
    <row r="3" customFormat="false" ht="19.5" hidden="false" customHeight="true" outlineLevel="0" collapsed="false">
      <c r="B3" s="2" t="s">
        <v>90</v>
      </c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B4" s="24" t="s">
        <v>48</v>
      </c>
      <c r="J4" s="25" t="s">
        <v>91</v>
      </c>
    </row>
    <row r="5" customFormat="false" ht="27.75" hidden="false" customHeight="true" outlineLevel="0" collapsed="false">
      <c r="B5" s="6" t="s">
        <v>92</v>
      </c>
      <c r="C5" s="6"/>
      <c r="D5" s="6"/>
      <c r="E5" s="6"/>
      <c r="F5" s="6"/>
      <c r="G5" s="6"/>
      <c r="H5" s="6"/>
      <c r="I5" s="6"/>
      <c r="J5" s="6"/>
    </row>
    <row r="7" customFormat="false" ht="19.5" hidden="false" customHeight="true" outlineLevel="0" collapsed="false">
      <c r="C7" s="36" t="s">
        <v>93</v>
      </c>
      <c r="D7" s="36" t="s">
        <v>94</v>
      </c>
      <c r="E7" s="36" t="s">
        <v>95</v>
      </c>
    </row>
    <row r="8" customFormat="false" ht="27.75" hidden="false" customHeight="true" outlineLevel="0" collapsed="false">
      <c r="C8" s="37" t="n">
        <f aca="false">SUM(E11:E25)</f>
        <v>8450.75</v>
      </c>
      <c r="D8" s="37" t="n">
        <f aca="false">SUM(F11:F25)</f>
        <v>312.4</v>
      </c>
      <c r="E8" s="38" t="n">
        <f aca="false">SUMPRODUCT(--(LEFT(J11:J25,1)="⚠"))</f>
        <v>0</v>
      </c>
    </row>
    <row r="10" customFormat="false" ht="31.5" hidden="false" customHeight="true" outlineLevel="0" collapsed="false">
      <c r="B10" s="13" t="s">
        <v>96</v>
      </c>
      <c r="C10" s="13" t="s">
        <v>97</v>
      </c>
      <c r="D10" s="13" t="s">
        <v>98</v>
      </c>
      <c r="E10" s="13" t="s">
        <v>99</v>
      </c>
      <c r="F10" s="13" t="s">
        <v>100</v>
      </c>
      <c r="G10" s="13" t="s">
        <v>101</v>
      </c>
      <c r="H10" s="13" t="s">
        <v>102</v>
      </c>
      <c r="I10" s="13" t="s">
        <v>103</v>
      </c>
      <c r="J10" s="13" t="s">
        <v>104</v>
      </c>
    </row>
    <row r="11" customFormat="false" ht="21.75" hidden="false" customHeight="true" outlineLevel="0" collapsed="false">
      <c r="B11" s="39" t="n">
        <v>1</v>
      </c>
      <c r="C11" s="26" t="s">
        <v>105</v>
      </c>
      <c r="D11" s="26" t="s">
        <v>106</v>
      </c>
      <c r="E11" s="40" t="n">
        <v>8450.75</v>
      </c>
      <c r="F11" s="40" t="n">
        <v>312.4</v>
      </c>
      <c r="G11" s="41" t="s">
        <v>107</v>
      </c>
      <c r="H11" s="26" t="s">
        <v>108</v>
      </c>
      <c r="I11" s="42" t="str">
        <f aca="false">IF(H11="","",HYPERLINK(H11,"Abrir ↗"))</f>
        <v>Abrir ↗</v>
      </c>
      <c r="J11" s="43" t="str">
        <f aca="false">IF(AND(C11="",E11="",F11=""),"",IF(OR(C11="",AND(E11="",F11="")),"⚠ Incompleto",IF(G11="SIM","✔ Ok","⚠ Falta informe")))</f>
        <v>✔ Ok</v>
      </c>
    </row>
    <row r="12" customFormat="false" ht="21.75" hidden="false" customHeight="true" outlineLevel="0" collapsed="false">
      <c r="B12" s="39" t="n">
        <v>2</v>
      </c>
      <c r="C12" s="26"/>
      <c r="D12" s="26"/>
      <c r="E12" s="40"/>
      <c r="F12" s="40"/>
      <c r="G12" s="41"/>
      <c r="H12" s="26"/>
      <c r="I12" s="42" t="str">
        <f aca="false">IF(H12="","",HYPERLINK(H12,"Abrir ↗"))</f>
        <v/>
      </c>
      <c r="J12" s="43" t="str">
        <f aca="false">IF(AND(C12="",E12="",F12=""),"",IF(OR(C12="",AND(E12="",F12="")),"⚠ Incompleto",IF(G12="SIM","✔ Ok","⚠ Falta informe")))</f>
        <v/>
      </c>
    </row>
    <row r="13" customFormat="false" ht="21.75" hidden="false" customHeight="true" outlineLevel="0" collapsed="false">
      <c r="B13" s="39" t="n">
        <v>3</v>
      </c>
      <c r="C13" s="26"/>
      <c r="D13" s="26"/>
      <c r="E13" s="40"/>
      <c r="F13" s="40"/>
      <c r="G13" s="41"/>
      <c r="H13" s="26"/>
      <c r="I13" s="42" t="str">
        <f aca="false">IF(H13="","",HYPERLINK(H13,"Abrir ↗"))</f>
        <v/>
      </c>
      <c r="J13" s="43" t="str">
        <f aca="false">IF(AND(C13="",E13="",F13=""),"",IF(OR(C13="",AND(E13="",F13="")),"⚠ Incompleto",IF(G13="SIM","✔ Ok","⚠ Falta informe")))</f>
        <v/>
      </c>
    </row>
    <row r="14" customFormat="false" ht="21.75" hidden="false" customHeight="true" outlineLevel="0" collapsed="false">
      <c r="B14" s="39" t="n">
        <v>4</v>
      </c>
      <c r="C14" s="26"/>
      <c r="D14" s="26"/>
      <c r="E14" s="40"/>
      <c r="F14" s="40"/>
      <c r="G14" s="41"/>
      <c r="H14" s="26"/>
      <c r="I14" s="42" t="str">
        <f aca="false">IF(H14="","",HYPERLINK(H14,"Abrir ↗"))</f>
        <v/>
      </c>
      <c r="J14" s="43" t="str">
        <f aca="false">IF(AND(C14="",E14="",F14=""),"",IF(OR(C14="",AND(E14="",F14="")),"⚠ Incompleto",IF(G14="SIM","✔ Ok","⚠ Falta informe")))</f>
        <v/>
      </c>
    </row>
    <row r="15" customFormat="false" ht="21.75" hidden="false" customHeight="true" outlineLevel="0" collapsed="false">
      <c r="B15" s="39" t="n">
        <v>5</v>
      </c>
      <c r="C15" s="26"/>
      <c r="D15" s="26"/>
      <c r="E15" s="40"/>
      <c r="F15" s="40"/>
      <c r="G15" s="41"/>
      <c r="H15" s="26"/>
      <c r="I15" s="42" t="str">
        <f aca="false">IF(H15="","",HYPERLINK(H15,"Abrir ↗"))</f>
        <v/>
      </c>
      <c r="J15" s="43" t="str">
        <f aca="false">IF(AND(C15="",E15="",F15=""),"",IF(OR(C15="",AND(E15="",F15="")),"⚠ Incompleto",IF(G15="SIM","✔ Ok","⚠ Falta informe")))</f>
        <v/>
      </c>
    </row>
    <row r="16" customFormat="false" ht="21.75" hidden="false" customHeight="true" outlineLevel="0" collapsed="false">
      <c r="B16" s="39" t="n">
        <v>6</v>
      </c>
      <c r="C16" s="26"/>
      <c r="D16" s="26"/>
      <c r="E16" s="40"/>
      <c r="F16" s="40"/>
      <c r="G16" s="41"/>
      <c r="H16" s="26"/>
      <c r="I16" s="42" t="str">
        <f aca="false">IF(H16="","",HYPERLINK(H16,"Abrir ↗"))</f>
        <v/>
      </c>
      <c r="J16" s="43" t="str">
        <f aca="false">IF(AND(C16="",E16="",F16=""),"",IF(OR(C16="",AND(E16="",F16="")),"⚠ Incompleto",IF(G16="SIM","✔ Ok","⚠ Falta informe")))</f>
        <v/>
      </c>
    </row>
    <row r="17" customFormat="false" ht="21.75" hidden="false" customHeight="true" outlineLevel="0" collapsed="false">
      <c r="B17" s="39" t="n">
        <v>7</v>
      </c>
      <c r="C17" s="26"/>
      <c r="D17" s="26"/>
      <c r="E17" s="40"/>
      <c r="F17" s="40"/>
      <c r="G17" s="41"/>
      <c r="H17" s="26"/>
      <c r="I17" s="42" t="str">
        <f aca="false">IF(H17="","",HYPERLINK(H17,"Abrir ↗"))</f>
        <v/>
      </c>
      <c r="J17" s="43" t="str">
        <f aca="false">IF(AND(C17="",E17="",F17=""),"",IF(OR(C17="",AND(E17="",F17="")),"⚠ Incompleto",IF(G17="SIM","✔ Ok","⚠ Falta informe")))</f>
        <v/>
      </c>
    </row>
    <row r="18" customFormat="false" ht="21.75" hidden="false" customHeight="true" outlineLevel="0" collapsed="false">
      <c r="B18" s="39" t="n">
        <v>8</v>
      </c>
      <c r="C18" s="26"/>
      <c r="D18" s="26"/>
      <c r="E18" s="40"/>
      <c r="F18" s="40"/>
      <c r="G18" s="41"/>
      <c r="H18" s="26"/>
      <c r="I18" s="42" t="str">
        <f aca="false">IF(H18="","",HYPERLINK(H18,"Abrir ↗"))</f>
        <v/>
      </c>
      <c r="J18" s="43" t="str">
        <f aca="false">IF(AND(C18="",E18="",F18=""),"",IF(OR(C18="",AND(E18="",F18="")),"⚠ Incompleto",IF(G18="SIM","✔ Ok","⚠ Falta informe")))</f>
        <v/>
      </c>
    </row>
    <row r="19" customFormat="false" ht="21.75" hidden="false" customHeight="true" outlineLevel="0" collapsed="false">
      <c r="B19" s="39" t="n">
        <v>9</v>
      </c>
      <c r="C19" s="26"/>
      <c r="D19" s="26"/>
      <c r="E19" s="40"/>
      <c r="F19" s="40"/>
      <c r="G19" s="41"/>
      <c r="H19" s="26"/>
      <c r="I19" s="42" t="str">
        <f aca="false">IF(H19="","",HYPERLINK(H19,"Abrir ↗"))</f>
        <v/>
      </c>
      <c r="J19" s="43" t="str">
        <f aca="false">IF(AND(C19="",E19="",F19=""),"",IF(OR(C19="",AND(E19="",F19="")),"⚠ Incompleto",IF(G19="SIM","✔ Ok","⚠ Falta informe")))</f>
        <v/>
      </c>
    </row>
    <row r="20" customFormat="false" ht="21.75" hidden="false" customHeight="true" outlineLevel="0" collapsed="false">
      <c r="B20" s="39" t="n">
        <v>10</v>
      </c>
      <c r="C20" s="26"/>
      <c r="D20" s="26"/>
      <c r="E20" s="40"/>
      <c r="F20" s="40"/>
      <c r="G20" s="41"/>
      <c r="H20" s="26"/>
      <c r="I20" s="42" t="str">
        <f aca="false">IF(H20="","",HYPERLINK(H20,"Abrir ↗"))</f>
        <v/>
      </c>
      <c r="J20" s="43" t="str">
        <f aca="false">IF(AND(C20="",E20="",F20=""),"",IF(OR(C20="",AND(E20="",F20="")),"⚠ Incompleto",IF(G20="SIM","✔ Ok","⚠ Falta informe")))</f>
        <v/>
      </c>
    </row>
    <row r="21" customFormat="false" ht="21.75" hidden="false" customHeight="true" outlineLevel="0" collapsed="false">
      <c r="B21" s="39" t="n">
        <v>11</v>
      </c>
      <c r="C21" s="26"/>
      <c r="D21" s="26"/>
      <c r="E21" s="40"/>
      <c r="F21" s="40"/>
      <c r="G21" s="41"/>
      <c r="H21" s="26"/>
      <c r="I21" s="42" t="str">
        <f aca="false">IF(H21="","",HYPERLINK(H21,"Abrir ↗"))</f>
        <v/>
      </c>
      <c r="J21" s="43" t="str">
        <f aca="false">IF(AND(C21="",E21="",F21=""),"",IF(OR(C21="",AND(E21="",F21="")),"⚠ Incompleto",IF(G21="SIM","✔ Ok","⚠ Falta informe")))</f>
        <v/>
      </c>
    </row>
    <row r="22" customFormat="false" ht="21.75" hidden="false" customHeight="true" outlineLevel="0" collapsed="false">
      <c r="B22" s="39" t="n">
        <v>12</v>
      </c>
      <c r="C22" s="26"/>
      <c r="D22" s="26"/>
      <c r="E22" s="40"/>
      <c r="F22" s="40"/>
      <c r="G22" s="41"/>
      <c r="H22" s="26"/>
      <c r="I22" s="42" t="str">
        <f aca="false">IF(H22="","",HYPERLINK(H22,"Abrir ↗"))</f>
        <v/>
      </c>
      <c r="J22" s="43" t="str">
        <f aca="false">IF(AND(C22="",E22="",F22=""),"",IF(OR(C22="",AND(E22="",F22="")),"⚠ Incompleto",IF(G22="SIM","✔ Ok","⚠ Falta informe")))</f>
        <v/>
      </c>
    </row>
    <row r="23" customFormat="false" ht="21.75" hidden="false" customHeight="true" outlineLevel="0" collapsed="false">
      <c r="B23" s="39" t="n">
        <v>13</v>
      </c>
      <c r="C23" s="26"/>
      <c r="D23" s="26"/>
      <c r="E23" s="40"/>
      <c r="F23" s="40"/>
      <c r="G23" s="41"/>
      <c r="H23" s="26"/>
      <c r="I23" s="42" t="str">
        <f aca="false">IF(H23="","",HYPERLINK(H23,"Abrir ↗"))</f>
        <v/>
      </c>
      <c r="J23" s="43" t="str">
        <f aca="false">IF(AND(C23="",E23="",F23=""),"",IF(OR(C23="",AND(E23="",F23="")),"⚠ Incompleto",IF(G23="SIM","✔ Ok","⚠ Falta informe")))</f>
        <v/>
      </c>
    </row>
    <row r="24" customFormat="false" ht="21.75" hidden="false" customHeight="true" outlineLevel="0" collapsed="false">
      <c r="B24" s="39" t="n">
        <v>14</v>
      </c>
      <c r="C24" s="26"/>
      <c r="D24" s="26"/>
      <c r="E24" s="40"/>
      <c r="F24" s="40"/>
      <c r="G24" s="41"/>
      <c r="H24" s="26"/>
      <c r="I24" s="42" t="str">
        <f aca="false">IF(H24="","",HYPERLINK(H24,"Abrir ↗"))</f>
        <v/>
      </c>
      <c r="J24" s="43" t="str">
        <f aca="false">IF(AND(C24="",E24="",F24=""),"",IF(OR(C24="",AND(E24="",F24="")),"⚠ Incompleto",IF(G24="SIM","✔ Ok","⚠ Falta informe")))</f>
        <v/>
      </c>
    </row>
    <row r="25" customFormat="false" ht="21.75" hidden="false" customHeight="true" outlineLevel="0" collapsed="false">
      <c r="B25" s="39" t="n">
        <v>15</v>
      </c>
      <c r="C25" s="26"/>
      <c r="D25" s="26"/>
      <c r="E25" s="40"/>
      <c r="F25" s="40"/>
      <c r="G25" s="41"/>
      <c r="H25" s="26"/>
      <c r="I25" s="42" t="str">
        <f aca="false">IF(H25="","",HYPERLINK(H25,"Abrir ↗"))</f>
        <v/>
      </c>
      <c r="J25" s="43" t="str">
        <f aca="false">IF(AND(C25="",E25="",F25=""),"",IF(OR(C25="",AND(E25="",F25="")),"⚠ Incompleto",IF(G25="SIM","✔ Ok","⚠ Falta informe")))</f>
        <v/>
      </c>
    </row>
    <row r="26" customFormat="false" ht="15" hidden="false" customHeight="true" outlineLevel="0" collapsed="false">
      <c r="B26" s="44" t="s">
        <v>35</v>
      </c>
      <c r="C26" s="44"/>
      <c r="D26" s="44"/>
      <c r="E26" s="18" t="n">
        <f aca="false">SUM(E11:E25)</f>
        <v>8450.75</v>
      </c>
      <c r="F26" s="18" t="n">
        <f aca="false">SUM(F11:F25)</f>
        <v>312.4</v>
      </c>
    </row>
  </sheetData>
  <sheetProtection sheet="true" formatColumns="false" formatRows="false"/>
  <mergeCells count="4">
    <mergeCell ref="B2:J2"/>
    <mergeCell ref="B3:J3"/>
    <mergeCell ref="B5:J5"/>
    <mergeCell ref="B26:D26"/>
  </mergeCells>
  <conditionalFormatting sqref="J11:J25">
    <cfRule type="expression" priority="2" aboveAverage="0" equalAverage="0" bottom="0" percent="0" rank="0" text="" dxfId="0">
      <formula>LEFT(J11,1)="✔"</formula>
    </cfRule>
    <cfRule type="expression" priority="3" aboveAverage="0" equalAverage="0" bottom="0" percent="0" rank="0" text="" dxfId="1">
      <formula>LEFT(J11,1)="⚠"</formula>
    </cfRule>
    <cfRule type="expression" priority="4" aboveAverage="0" equalAverage="0" bottom="0" percent="0" rank="0" text="" dxfId="2">
      <formula>LEFT(J11,1)="✖"</formula>
    </cfRule>
  </conditionalFormatting>
  <dataValidations count="4">
    <dataValidation allowBlank="true" error="Escolha um banco da lista (código - nome)." errorStyle="stop" errorTitle="Banco inválido" operator="between" prompt="Selecione na lista." promptTitle="Banco" showDropDown="false" showErrorMessage="true" showInputMessage="true" sqref="C11:C25" type="list">
      <formula1>BANCOS</formula1>
      <formula2>0</formula2>
    </dataValidation>
    <dataValidation allowBlank="true" error="Escolha um tipo de produto da lista." errorStyle="stop" errorTitle="Opção inválida" operator="between" showDropDown="false" showErrorMessage="true" showInputMessage="true" sqref="D11:D25" type="list">
      <formula1>PRODUTOS</formula1>
      <formula2>0</formula2>
    </dataValidation>
    <dataValidation allowBlank="true" error="Informe um valor numérico maior ou igual a zero." errorStyle="stop" errorTitle="Valor inválido" operator="greaterThanOrEqual" showDropDown="false" showErrorMessage="true" showInputMessage="true" sqref="E11:F25" type="decimal">
      <formula1>0</formula1>
      <formula2>0</formula2>
    </dataValidation>
    <dataValidation allowBlank="true" error="Escolha SIM ou NÃO." errorStyle="stop" errorTitle="Opção inválida" operator="between" showDropDown="false" showErrorMessage="true" showInputMessage="true" sqref="G11:G25" type="list">
      <formula1>SIMNAO</formula1>
      <formula2>0</formula2>
    </dataValidation>
  </dataValidations>
  <hyperlinks>
    <hyperlink ref="B4" location="'INÍCIO'!A1" display="◀ Menu principal"/>
    <hyperlink ref="J4" location="'ENTRADAS'!A1" display="Próxima etapa: Entradas ▶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L2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30"/>
    <col collapsed="false" customWidth="true" hidden="false" outlineLevel="0" max="9" min="9" style="0" width="3"/>
    <col collapsed="false" customWidth="true" hidden="false" outlineLevel="0" max="10" min="10" style="0" width="26"/>
    <col collapsed="false" customWidth="true" hidden="false" outlineLevel="0" max="11" min="11" style="0" width="18"/>
    <col collapsed="false" customWidth="true" hidden="false" outlineLevel="0" max="12" min="12" style="0" width="16"/>
  </cols>
  <sheetData>
    <row r="2" customFormat="false" ht="30" hidden="false" customHeight="true" outlineLevel="0" collapsed="false">
      <c r="B2" s="1" t="s">
        <v>109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9.5" hidden="false" customHeight="true" outlineLevel="0" collapsed="false">
      <c r="B3" s="2" t="s">
        <v>110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B4" s="24" t="s">
        <v>48</v>
      </c>
      <c r="H4" s="25" t="s">
        <v>111</v>
      </c>
    </row>
    <row r="5" customFormat="false" ht="27.75" hidden="false" customHeight="true" outlineLevel="0" collapsed="false">
      <c r="B5" s="6" t="s">
        <v>112</v>
      </c>
      <c r="C5" s="6"/>
      <c r="D5" s="6"/>
      <c r="E5" s="6"/>
      <c r="F5" s="6"/>
      <c r="G5" s="6"/>
      <c r="H5" s="6"/>
      <c r="I5" s="6"/>
      <c r="J5" s="6"/>
      <c r="K5" s="6"/>
      <c r="L5" s="6"/>
    </row>
    <row r="7" customFormat="false" ht="30" hidden="false" customHeight="true" outlineLevel="0" collapsed="false">
      <c r="B7" s="13" t="s">
        <v>113</v>
      </c>
      <c r="C7" s="13" t="s">
        <v>114</v>
      </c>
      <c r="D7" s="13" t="s">
        <v>115</v>
      </c>
      <c r="E7" s="13" t="s">
        <v>116</v>
      </c>
      <c r="F7" s="13" t="s">
        <v>117</v>
      </c>
      <c r="G7" s="13" t="s">
        <v>118</v>
      </c>
      <c r="H7" s="13" t="s">
        <v>119</v>
      </c>
      <c r="J7" s="13" t="s">
        <v>120</v>
      </c>
      <c r="K7" s="13" t="s">
        <v>121</v>
      </c>
      <c r="L7" s="13" t="s">
        <v>122</v>
      </c>
    </row>
    <row r="8" customFormat="false" ht="15" hidden="false" customHeight="false" outlineLevel="0" collapsed="false">
      <c r="B8" s="45" t="n">
        <v>46052</v>
      </c>
      <c r="C8" s="26" t="s">
        <v>123</v>
      </c>
      <c r="D8" s="26" t="s">
        <v>124</v>
      </c>
      <c r="E8" s="40" t="n">
        <v>5200</v>
      </c>
      <c r="F8" s="40" t="n">
        <v>410.35</v>
      </c>
      <c r="G8" s="15" t="n">
        <f aca="false">IF(E8="","",E8-F8)</f>
        <v>4789.65</v>
      </c>
      <c r="H8" s="26" t="s">
        <v>125</v>
      </c>
      <c r="J8" s="14" t="str">
        <f aca="false">LISTAS!$B$2</f>
        <v>Holerite (CLT)</v>
      </c>
      <c r="K8" s="15" t="n">
        <f aca="false">SUMIF($C$8:$C$207,J8,$E$8:$E$207)</f>
        <v>5200</v>
      </c>
      <c r="L8" s="15" t="n">
        <f aca="false">SUMIF($C$8:$C$207,J8,$F$8:$F$207)</f>
        <v>410.35</v>
      </c>
    </row>
    <row r="9" customFormat="false" ht="15" hidden="false" customHeight="false" outlineLevel="0" collapsed="false">
      <c r="B9" s="45"/>
      <c r="C9" s="26"/>
      <c r="D9" s="26"/>
      <c r="E9" s="40"/>
      <c r="F9" s="40"/>
      <c r="G9" s="15" t="str">
        <f aca="false">IF(E9="","",E9-F9)</f>
        <v/>
      </c>
      <c r="H9" s="26"/>
      <c r="J9" s="14" t="str">
        <f aca="false">LISTAS!$B$3</f>
        <v>Pró-labore</v>
      </c>
      <c r="K9" s="15" t="n">
        <f aca="false">SUMIF($C$8:$C$207,J9,$E$8:$E$207)</f>
        <v>0</v>
      </c>
      <c r="L9" s="15" t="n">
        <f aca="false">SUMIF($C$8:$C$207,J9,$F$8:$F$207)</f>
        <v>0</v>
      </c>
    </row>
    <row r="10" customFormat="false" ht="15" hidden="false" customHeight="false" outlineLevel="0" collapsed="false">
      <c r="B10" s="45"/>
      <c r="C10" s="26"/>
      <c r="D10" s="26"/>
      <c r="E10" s="40"/>
      <c r="F10" s="40"/>
      <c r="G10" s="15" t="str">
        <f aca="false">IF(E10="","",E10-F10)</f>
        <v/>
      </c>
      <c r="H10" s="26"/>
      <c r="J10" s="14" t="str">
        <f aca="false">LISTAS!$B$4</f>
        <v>CNPJ / PJ</v>
      </c>
      <c r="K10" s="15" t="n">
        <f aca="false">SUMIF($C$8:$C$207,J10,$E$8:$E$207)</f>
        <v>0</v>
      </c>
      <c r="L10" s="15" t="n">
        <f aca="false">SUMIF($C$8:$C$207,J10,$F$8:$F$207)</f>
        <v>0</v>
      </c>
    </row>
    <row r="11" customFormat="false" ht="15" hidden="false" customHeight="false" outlineLevel="0" collapsed="false">
      <c r="B11" s="45"/>
      <c r="C11" s="26"/>
      <c r="D11" s="26"/>
      <c r="E11" s="40"/>
      <c r="F11" s="40"/>
      <c r="G11" s="15" t="str">
        <f aca="false">IF(E11="","",E11-F11)</f>
        <v/>
      </c>
      <c r="H11" s="26"/>
      <c r="J11" s="14" t="str">
        <f aca="false">LISTAS!$B$5</f>
        <v>Freelance / Autônomo</v>
      </c>
      <c r="K11" s="15" t="n">
        <f aca="false">SUMIF($C$8:$C$207,J11,$E$8:$E$207)</f>
        <v>0</v>
      </c>
      <c r="L11" s="15" t="n">
        <f aca="false">SUMIF($C$8:$C$207,J11,$F$8:$F$207)</f>
        <v>0</v>
      </c>
    </row>
    <row r="12" customFormat="false" ht="15" hidden="false" customHeight="false" outlineLevel="0" collapsed="false">
      <c r="B12" s="45"/>
      <c r="C12" s="26"/>
      <c r="D12" s="26"/>
      <c r="E12" s="40"/>
      <c r="F12" s="40"/>
      <c r="G12" s="15" t="str">
        <f aca="false">IF(E12="","",E12-F12)</f>
        <v/>
      </c>
      <c r="H12" s="26"/>
      <c r="J12" s="14" t="str">
        <f aca="false">LISTAS!$B$6</f>
        <v>Aluguel recebido</v>
      </c>
      <c r="K12" s="15" t="n">
        <f aca="false">SUMIF($C$8:$C$207,J12,$E$8:$E$207)</f>
        <v>0</v>
      </c>
      <c r="L12" s="15" t="n">
        <f aca="false">SUMIF($C$8:$C$207,J12,$F$8:$F$207)</f>
        <v>0</v>
      </c>
    </row>
    <row r="13" customFormat="false" ht="15" hidden="false" customHeight="false" outlineLevel="0" collapsed="false">
      <c r="B13" s="45"/>
      <c r="C13" s="26"/>
      <c r="D13" s="26"/>
      <c r="E13" s="40"/>
      <c r="F13" s="40"/>
      <c r="G13" s="15" t="str">
        <f aca="false">IF(E13="","",E13-F13)</f>
        <v/>
      </c>
      <c r="H13" s="26"/>
      <c r="J13" s="14" t="str">
        <f aca="false">LISTAS!$B$7</f>
        <v>Outros</v>
      </c>
      <c r="K13" s="15" t="n">
        <f aca="false">SUMIF($C$8:$C$207,J13,$E$8:$E$207)</f>
        <v>0</v>
      </c>
      <c r="L13" s="15" t="n">
        <f aca="false">SUMIF($C$8:$C$207,J13,$F$8:$F$207)</f>
        <v>0</v>
      </c>
    </row>
    <row r="14" customFormat="false" ht="15" hidden="false" customHeight="false" outlineLevel="0" collapsed="false">
      <c r="B14" s="45"/>
      <c r="C14" s="26"/>
      <c r="D14" s="26"/>
      <c r="E14" s="40"/>
      <c r="F14" s="40"/>
      <c r="G14" s="15" t="str">
        <f aca="false">IF(E14="","",E14-F14)</f>
        <v/>
      </c>
      <c r="H14" s="26"/>
      <c r="J14" s="17" t="s">
        <v>35</v>
      </c>
      <c r="K14" s="18" t="n">
        <f aca="false">SUM(E8:E207)</f>
        <v>5200</v>
      </c>
      <c r="L14" s="18" t="n">
        <f aca="false">SUM(F8:F207)</f>
        <v>410.35</v>
      </c>
    </row>
    <row r="15" customFormat="false" ht="15" hidden="false" customHeight="false" outlineLevel="0" collapsed="false">
      <c r="B15" s="45"/>
      <c r="C15" s="26"/>
      <c r="D15" s="26"/>
      <c r="E15" s="40"/>
      <c r="F15" s="40"/>
      <c r="G15" s="15" t="str">
        <f aca="false">IF(E15="","",E15-F15)</f>
        <v/>
      </c>
      <c r="H15" s="26"/>
    </row>
    <row r="16" customFormat="false" ht="15" hidden="false" customHeight="false" outlineLevel="0" collapsed="false">
      <c r="B16" s="45"/>
      <c r="C16" s="26"/>
      <c r="D16" s="26"/>
      <c r="E16" s="40"/>
      <c r="F16" s="40"/>
      <c r="G16" s="15" t="str">
        <f aca="false">IF(E16="","",E16-F16)</f>
        <v/>
      </c>
      <c r="H16" s="26"/>
      <c r="J16" s="46" t="s">
        <v>126</v>
      </c>
      <c r="K16" s="47" t="n">
        <f aca="false">COUNT(B8:B207)</f>
        <v>1</v>
      </c>
    </row>
    <row r="17" customFormat="false" ht="15" hidden="false" customHeight="false" outlineLevel="0" collapsed="false">
      <c r="B17" s="45"/>
      <c r="C17" s="26"/>
      <c r="D17" s="26"/>
      <c r="E17" s="40"/>
      <c r="F17" s="40"/>
      <c r="G17" s="15" t="str">
        <f aca="false">IF(E17="","",E17-F17)</f>
        <v/>
      </c>
      <c r="H17" s="26"/>
      <c r="J17" s="46" t="s">
        <v>127</v>
      </c>
      <c r="K17" s="15" t="n">
        <f aca="false">SUM(G8:G207)</f>
        <v>4789.65</v>
      </c>
    </row>
    <row r="18" customFormat="false" ht="15" hidden="false" customHeight="false" outlineLevel="0" collapsed="false">
      <c r="B18" s="45"/>
      <c r="C18" s="26"/>
      <c r="D18" s="26"/>
      <c r="E18" s="40"/>
      <c r="F18" s="40"/>
      <c r="G18" s="15" t="str">
        <f aca="false">IF(E18="","",E18-F18)</f>
        <v/>
      </c>
      <c r="H18" s="26"/>
      <c r="J18" s="48" t="s">
        <v>128</v>
      </c>
      <c r="K18" s="14" t="str">
        <f aca="false">IF(ROUND(SUM(K8:K13)-K14,2)=0,"✔ Confere","⚠ Há valores sem categoria")</f>
        <v>✔ Confere</v>
      </c>
    </row>
    <row r="19" customFormat="false" ht="15" hidden="false" customHeight="false" outlineLevel="0" collapsed="false">
      <c r="B19" s="45"/>
      <c r="C19" s="26"/>
      <c r="D19" s="26"/>
      <c r="E19" s="40"/>
      <c r="F19" s="40"/>
      <c r="G19" s="15" t="str">
        <f aca="false">IF(E19="","",E19-F19)</f>
        <v/>
      </c>
      <c r="H19" s="26"/>
    </row>
    <row r="20" customFormat="false" ht="15" hidden="false" customHeight="false" outlineLevel="0" collapsed="false">
      <c r="B20" s="45"/>
      <c r="C20" s="26"/>
      <c r="D20" s="26"/>
      <c r="E20" s="40"/>
      <c r="F20" s="40"/>
      <c r="G20" s="15" t="str">
        <f aca="false">IF(E20="","",E20-F20)</f>
        <v/>
      </c>
      <c r="H20" s="26"/>
    </row>
    <row r="21" customFormat="false" ht="15" hidden="false" customHeight="false" outlineLevel="0" collapsed="false">
      <c r="B21" s="45"/>
      <c r="C21" s="26"/>
      <c r="D21" s="26"/>
      <c r="E21" s="40"/>
      <c r="F21" s="40"/>
      <c r="G21" s="15" t="str">
        <f aca="false">IF(E21="","",E21-F21)</f>
        <v/>
      </c>
      <c r="H21" s="26"/>
    </row>
    <row r="22" customFormat="false" ht="15" hidden="false" customHeight="false" outlineLevel="0" collapsed="false">
      <c r="B22" s="45"/>
      <c r="C22" s="26"/>
      <c r="D22" s="26"/>
      <c r="E22" s="40"/>
      <c r="F22" s="40"/>
      <c r="G22" s="15" t="str">
        <f aca="false">IF(E22="","",E22-F22)</f>
        <v/>
      </c>
      <c r="H22" s="26"/>
    </row>
    <row r="23" customFormat="false" ht="15" hidden="false" customHeight="false" outlineLevel="0" collapsed="false">
      <c r="B23" s="45"/>
      <c r="C23" s="26"/>
      <c r="D23" s="26"/>
      <c r="E23" s="40"/>
      <c r="F23" s="40"/>
      <c r="G23" s="15" t="str">
        <f aca="false">IF(E23="","",E23-F23)</f>
        <v/>
      </c>
      <c r="H23" s="26"/>
    </row>
    <row r="24" customFormat="false" ht="15" hidden="false" customHeight="false" outlineLevel="0" collapsed="false">
      <c r="B24" s="45"/>
      <c r="C24" s="26"/>
      <c r="D24" s="26"/>
      <c r="E24" s="40"/>
      <c r="F24" s="40"/>
      <c r="G24" s="15" t="str">
        <f aca="false">IF(E24="","",E24-F24)</f>
        <v/>
      </c>
      <c r="H24" s="26"/>
    </row>
    <row r="25" customFormat="false" ht="15" hidden="false" customHeight="false" outlineLevel="0" collapsed="false">
      <c r="B25" s="45"/>
      <c r="C25" s="26"/>
      <c r="D25" s="26"/>
      <c r="E25" s="40"/>
      <c r="F25" s="40"/>
      <c r="G25" s="15" t="str">
        <f aca="false">IF(E25="","",E25-F25)</f>
        <v/>
      </c>
      <c r="H25" s="26"/>
    </row>
    <row r="26" customFormat="false" ht="15" hidden="false" customHeight="false" outlineLevel="0" collapsed="false">
      <c r="B26" s="45"/>
      <c r="C26" s="26"/>
      <c r="D26" s="26"/>
      <c r="E26" s="40"/>
      <c r="F26" s="40"/>
      <c r="G26" s="15" t="str">
        <f aca="false">IF(E26="","",E26-F26)</f>
        <v/>
      </c>
      <c r="H26" s="26"/>
    </row>
    <row r="27" customFormat="false" ht="15" hidden="false" customHeight="false" outlineLevel="0" collapsed="false">
      <c r="B27" s="45"/>
      <c r="C27" s="26"/>
      <c r="D27" s="26"/>
      <c r="E27" s="40"/>
      <c r="F27" s="40"/>
      <c r="G27" s="15" t="str">
        <f aca="false">IF(E27="","",E27-F27)</f>
        <v/>
      </c>
      <c r="H27" s="26"/>
    </row>
    <row r="28" customFormat="false" ht="15" hidden="false" customHeight="false" outlineLevel="0" collapsed="false">
      <c r="B28" s="45"/>
      <c r="C28" s="26"/>
      <c r="D28" s="26"/>
      <c r="E28" s="40"/>
      <c r="F28" s="40"/>
      <c r="G28" s="15" t="str">
        <f aca="false">IF(E28="","",E28-F28)</f>
        <v/>
      </c>
      <c r="H28" s="26"/>
    </row>
    <row r="29" customFormat="false" ht="15" hidden="false" customHeight="false" outlineLevel="0" collapsed="false">
      <c r="B29" s="45"/>
      <c r="C29" s="26"/>
      <c r="D29" s="26"/>
      <c r="E29" s="40"/>
      <c r="F29" s="40"/>
      <c r="G29" s="15" t="str">
        <f aca="false">IF(E29="","",E29-F29)</f>
        <v/>
      </c>
      <c r="H29" s="26"/>
    </row>
    <row r="30" customFormat="false" ht="15" hidden="false" customHeight="false" outlineLevel="0" collapsed="false">
      <c r="B30" s="45"/>
      <c r="C30" s="26"/>
      <c r="D30" s="26"/>
      <c r="E30" s="40"/>
      <c r="F30" s="40"/>
      <c r="G30" s="15" t="str">
        <f aca="false">IF(E30="","",E30-F30)</f>
        <v/>
      </c>
      <c r="H30" s="26"/>
    </row>
    <row r="31" customFormat="false" ht="15" hidden="false" customHeight="false" outlineLevel="0" collapsed="false">
      <c r="B31" s="45"/>
      <c r="C31" s="26"/>
      <c r="D31" s="26"/>
      <c r="E31" s="40"/>
      <c r="F31" s="40"/>
      <c r="G31" s="15" t="str">
        <f aca="false">IF(E31="","",E31-F31)</f>
        <v/>
      </c>
      <c r="H31" s="26"/>
    </row>
    <row r="32" customFormat="false" ht="15" hidden="false" customHeight="false" outlineLevel="0" collapsed="false">
      <c r="B32" s="45"/>
      <c r="C32" s="26"/>
      <c r="D32" s="26"/>
      <c r="E32" s="40"/>
      <c r="F32" s="40"/>
      <c r="G32" s="15" t="str">
        <f aca="false">IF(E32="","",E32-F32)</f>
        <v/>
      </c>
      <c r="H32" s="26"/>
    </row>
    <row r="33" customFormat="false" ht="15" hidden="false" customHeight="false" outlineLevel="0" collapsed="false">
      <c r="B33" s="45"/>
      <c r="C33" s="26"/>
      <c r="D33" s="26"/>
      <c r="E33" s="40"/>
      <c r="F33" s="40"/>
      <c r="G33" s="15" t="str">
        <f aca="false">IF(E33="","",E33-F33)</f>
        <v/>
      </c>
      <c r="H33" s="26"/>
    </row>
    <row r="34" customFormat="false" ht="15" hidden="false" customHeight="false" outlineLevel="0" collapsed="false">
      <c r="B34" s="45"/>
      <c r="C34" s="26"/>
      <c r="D34" s="26"/>
      <c r="E34" s="40"/>
      <c r="F34" s="40"/>
      <c r="G34" s="15" t="str">
        <f aca="false">IF(E34="","",E34-F34)</f>
        <v/>
      </c>
      <c r="H34" s="26"/>
    </row>
    <row r="35" customFormat="false" ht="15" hidden="false" customHeight="false" outlineLevel="0" collapsed="false">
      <c r="B35" s="45"/>
      <c r="C35" s="26"/>
      <c r="D35" s="26"/>
      <c r="E35" s="40"/>
      <c r="F35" s="40"/>
      <c r="G35" s="15" t="str">
        <f aca="false">IF(E35="","",E35-F35)</f>
        <v/>
      </c>
      <c r="H35" s="26"/>
    </row>
    <row r="36" customFormat="false" ht="15" hidden="false" customHeight="false" outlineLevel="0" collapsed="false">
      <c r="B36" s="45"/>
      <c r="C36" s="26"/>
      <c r="D36" s="26"/>
      <c r="E36" s="40"/>
      <c r="F36" s="40"/>
      <c r="G36" s="15" t="str">
        <f aca="false">IF(E36="","",E36-F36)</f>
        <v/>
      </c>
      <c r="H36" s="26"/>
    </row>
    <row r="37" customFormat="false" ht="15" hidden="false" customHeight="false" outlineLevel="0" collapsed="false">
      <c r="B37" s="45"/>
      <c r="C37" s="26"/>
      <c r="D37" s="26"/>
      <c r="E37" s="40"/>
      <c r="F37" s="40"/>
      <c r="G37" s="15" t="str">
        <f aca="false">IF(E37="","",E37-F37)</f>
        <v/>
      </c>
      <c r="H37" s="26"/>
    </row>
    <row r="38" customFormat="false" ht="15" hidden="false" customHeight="false" outlineLevel="0" collapsed="false">
      <c r="B38" s="45"/>
      <c r="C38" s="26"/>
      <c r="D38" s="26"/>
      <c r="E38" s="40"/>
      <c r="F38" s="40"/>
      <c r="G38" s="15" t="str">
        <f aca="false">IF(E38="","",E38-F38)</f>
        <v/>
      </c>
      <c r="H38" s="26"/>
    </row>
    <row r="39" customFormat="false" ht="15" hidden="false" customHeight="false" outlineLevel="0" collapsed="false">
      <c r="B39" s="45"/>
      <c r="C39" s="26"/>
      <c r="D39" s="26"/>
      <c r="E39" s="40"/>
      <c r="F39" s="40"/>
      <c r="G39" s="15" t="str">
        <f aca="false">IF(E39="","",E39-F39)</f>
        <v/>
      </c>
      <c r="H39" s="26"/>
    </row>
    <row r="40" customFormat="false" ht="15" hidden="false" customHeight="false" outlineLevel="0" collapsed="false">
      <c r="B40" s="45"/>
      <c r="C40" s="26"/>
      <c r="D40" s="26"/>
      <c r="E40" s="40"/>
      <c r="F40" s="40"/>
      <c r="G40" s="15" t="str">
        <f aca="false">IF(E40="","",E40-F40)</f>
        <v/>
      </c>
      <c r="H40" s="26"/>
    </row>
    <row r="41" customFormat="false" ht="15" hidden="false" customHeight="false" outlineLevel="0" collapsed="false">
      <c r="B41" s="45"/>
      <c r="C41" s="26"/>
      <c r="D41" s="26"/>
      <c r="E41" s="40"/>
      <c r="F41" s="40"/>
      <c r="G41" s="15" t="str">
        <f aca="false">IF(E41="","",E41-F41)</f>
        <v/>
      </c>
      <c r="H41" s="26"/>
    </row>
    <row r="42" customFormat="false" ht="15" hidden="false" customHeight="false" outlineLevel="0" collapsed="false">
      <c r="B42" s="45"/>
      <c r="C42" s="26"/>
      <c r="D42" s="26"/>
      <c r="E42" s="40"/>
      <c r="F42" s="40"/>
      <c r="G42" s="15" t="str">
        <f aca="false">IF(E42="","",E42-F42)</f>
        <v/>
      </c>
      <c r="H42" s="26"/>
    </row>
    <row r="43" customFormat="false" ht="15" hidden="false" customHeight="false" outlineLevel="0" collapsed="false">
      <c r="B43" s="45"/>
      <c r="C43" s="26"/>
      <c r="D43" s="26"/>
      <c r="E43" s="40"/>
      <c r="F43" s="40"/>
      <c r="G43" s="15" t="str">
        <f aca="false">IF(E43="","",E43-F43)</f>
        <v/>
      </c>
      <c r="H43" s="26"/>
    </row>
    <row r="44" customFormat="false" ht="15" hidden="false" customHeight="false" outlineLevel="0" collapsed="false">
      <c r="B44" s="45"/>
      <c r="C44" s="26"/>
      <c r="D44" s="26"/>
      <c r="E44" s="40"/>
      <c r="F44" s="40"/>
      <c r="G44" s="15" t="str">
        <f aca="false">IF(E44="","",E44-F44)</f>
        <v/>
      </c>
      <c r="H44" s="26"/>
    </row>
    <row r="45" customFormat="false" ht="15" hidden="false" customHeight="false" outlineLevel="0" collapsed="false">
      <c r="B45" s="45"/>
      <c r="C45" s="26"/>
      <c r="D45" s="26"/>
      <c r="E45" s="40"/>
      <c r="F45" s="40"/>
      <c r="G45" s="15" t="str">
        <f aca="false">IF(E45="","",E45-F45)</f>
        <v/>
      </c>
      <c r="H45" s="26"/>
    </row>
    <row r="46" customFormat="false" ht="15" hidden="false" customHeight="false" outlineLevel="0" collapsed="false">
      <c r="B46" s="45"/>
      <c r="C46" s="26"/>
      <c r="D46" s="26"/>
      <c r="E46" s="40"/>
      <c r="F46" s="40"/>
      <c r="G46" s="15" t="str">
        <f aca="false">IF(E46="","",E46-F46)</f>
        <v/>
      </c>
      <c r="H46" s="26"/>
    </row>
    <row r="47" customFormat="false" ht="15" hidden="false" customHeight="false" outlineLevel="0" collapsed="false">
      <c r="B47" s="45"/>
      <c r="C47" s="26"/>
      <c r="D47" s="26"/>
      <c r="E47" s="40"/>
      <c r="F47" s="40"/>
      <c r="G47" s="15" t="str">
        <f aca="false">IF(E47="","",E47-F47)</f>
        <v/>
      </c>
      <c r="H47" s="26"/>
    </row>
    <row r="48" customFormat="false" ht="15" hidden="false" customHeight="false" outlineLevel="0" collapsed="false">
      <c r="B48" s="45"/>
      <c r="C48" s="26"/>
      <c r="D48" s="26"/>
      <c r="E48" s="40"/>
      <c r="F48" s="40"/>
      <c r="G48" s="15" t="str">
        <f aca="false">IF(E48="","",E48-F48)</f>
        <v/>
      </c>
      <c r="H48" s="26"/>
    </row>
    <row r="49" customFormat="false" ht="15" hidden="false" customHeight="false" outlineLevel="0" collapsed="false">
      <c r="B49" s="45"/>
      <c r="C49" s="26"/>
      <c r="D49" s="26"/>
      <c r="E49" s="40"/>
      <c r="F49" s="40"/>
      <c r="G49" s="15" t="str">
        <f aca="false">IF(E49="","",E49-F49)</f>
        <v/>
      </c>
      <c r="H49" s="26"/>
    </row>
    <row r="50" customFormat="false" ht="15" hidden="false" customHeight="false" outlineLevel="0" collapsed="false">
      <c r="B50" s="45"/>
      <c r="C50" s="26"/>
      <c r="D50" s="26"/>
      <c r="E50" s="40"/>
      <c r="F50" s="40"/>
      <c r="G50" s="15" t="str">
        <f aca="false">IF(E50="","",E50-F50)</f>
        <v/>
      </c>
      <c r="H50" s="26"/>
    </row>
    <row r="51" customFormat="false" ht="15" hidden="false" customHeight="false" outlineLevel="0" collapsed="false">
      <c r="B51" s="45"/>
      <c r="C51" s="26"/>
      <c r="D51" s="26"/>
      <c r="E51" s="40"/>
      <c r="F51" s="40"/>
      <c r="G51" s="15" t="str">
        <f aca="false">IF(E51="","",E51-F51)</f>
        <v/>
      </c>
      <c r="H51" s="26"/>
    </row>
    <row r="52" customFormat="false" ht="15" hidden="false" customHeight="false" outlineLevel="0" collapsed="false">
      <c r="B52" s="45"/>
      <c r="C52" s="26"/>
      <c r="D52" s="26"/>
      <c r="E52" s="40"/>
      <c r="F52" s="40"/>
      <c r="G52" s="15" t="str">
        <f aca="false">IF(E52="","",E52-F52)</f>
        <v/>
      </c>
      <c r="H52" s="26"/>
    </row>
    <row r="53" customFormat="false" ht="15" hidden="false" customHeight="false" outlineLevel="0" collapsed="false">
      <c r="B53" s="45"/>
      <c r="C53" s="26"/>
      <c r="D53" s="26"/>
      <c r="E53" s="40"/>
      <c r="F53" s="40"/>
      <c r="G53" s="15" t="str">
        <f aca="false">IF(E53="","",E53-F53)</f>
        <v/>
      </c>
      <c r="H53" s="26"/>
    </row>
    <row r="54" customFormat="false" ht="15" hidden="false" customHeight="false" outlineLevel="0" collapsed="false">
      <c r="B54" s="45"/>
      <c r="C54" s="26"/>
      <c r="D54" s="26"/>
      <c r="E54" s="40"/>
      <c r="F54" s="40"/>
      <c r="G54" s="15" t="str">
        <f aca="false">IF(E54="","",E54-F54)</f>
        <v/>
      </c>
      <c r="H54" s="26"/>
    </row>
    <row r="55" customFormat="false" ht="15" hidden="false" customHeight="false" outlineLevel="0" collapsed="false">
      <c r="B55" s="45"/>
      <c r="C55" s="26"/>
      <c r="D55" s="26"/>
      <c r="E55" s="40"/>
      <c r="F55" s="40"/>
      <c r="G55" s="15" t="str">
        <f aca="false">IF(E55="","",E55-F55)</f>
        <v/>
      </c>
      <c r="H55" s="26"/>
    </row>
    <row r="56" customFormat="false" ht="15" hidden="false" customHeight="false" outlineLevel="0" collapsed="false">
      <c r="B56" s="45"/>
      <c r="C56" s="26"/>
      <c r="D56" s="26"/>
      <c r="E56" s="40"/>
      <c r="F56" s="40"/>
      <c r="G56" s="15" t="str">
        <f aca="false">IF(E56="","",E56-F56)</f>
        <v/>
      </c>
      <c r="H56" s="26"/>
    </row>
    <row r="57" customFormat="false" ht="15" hidden="false" customHeight="false" outlineLevel="0" collapsed="false">
      <c r="B57" s="45"/>
      <c r="C57" s="26"/>
      <c r="D57" s="26"/>
      <c r="E57" s="40"/>
      <c r="F57" s="40"/>
      <c r="G57" s="15" t="str">
        <f aca="false">IF(E57="","",E57-F57)</f>
        <v/>
      </c>
      <c r="H57" s="26"/>
    </row>
    <row r="58" customFormat="false" ht="15" hidden="false" customHeight="false" outlineLevel="0" collapsed="false">
      <c r="B58" s="45"/>
      <c r="C58" s="26"/>
      <c r="D58" s="26"/>
      <c r="E58" s="40"/>
      <c r="F58" s="40"/>
      <c r="G58" s="15" t="str">
        <f aca="false">IF(E58="","",E58-F58)</f>
        <v/>
      </c>
      <c r="H58" s="26"/>
    </row>
    <row r="59" customFormat="false" ht="15" hidden="false" customHeight="false" outlineLevel="0" collapsed="false">
      <c r="B59" s="45"/>
      <c r="C59" s="26"/>
      <c r="D59" s="26"/>
      <c r="E59" s="40"/>
      <c r="F59" s="40"/>
      <c r="G59" s="15" t="str">
        <f aca="false">IF(E59="","",E59-F59)</f>
        <v/>
      </c>
      <c r="H59" s="26"/>
    </row>
    <row r="60" customFormat="false" ht="15" hidden="false" customHeight="false" outlineLevel="0" collapsed="false">
      <c r="B60" s="45"/>
      <c r="C60" s="26"/>
      <c r="D60" s="26"/>
      <c r="E60" s="40"/>
      <c r="F60" s="40"/>
      <c r="G60" s="15" t="str">
        <f aca="false">IF(E60="","",E60-F60)</f>
        <v/>
      </c>
      <c r="H60" s="26"/>
    </row>
    <row r="61" customFormat="false" ht="15" hidden="false" customHeight="false" outlineLevel="0" collapsed="false">
      <c r="B61" s="45"/>
      <c r="C61" s="26"/>
      <c r="D61" s="26"/>
      <c r="E61" s="40"/>
      <c r="F61" s="40"/>
      <c r="G61" s="15" t="str">
        <f aca="false">IF(E61="","",E61-F61)</f>
        <v/>
      </c>
      <c r="H61" s="26"/>
    </row>
    <row r="62" customFormat="false" ht="15" hidden="false" customHeight="false" outlineLevel="0" collapsed="false">
      <c r="B62" s="45"/>
      <c r="C62" s="26"/>
      <c r="D62" s="26"/>
      <c r="E62" s="40"/>
      <c r="F62" s="40"/>
      <c r="G62" s="15" t="str">
        <f aca="false">IF(E62="","",E62-F62)</f>
        <v/>
      </c>
      <c r="H62" s="26"/>
    </row>
    <row r="63" customFormat="false" ht="15" hidden="false" customHeight="false" outlineLevel="0" collapsed="false">
      <c r="B63" s="45"/>
      <c r="C63" s="26"/>
      <c r="D63" s="26"/>
      <c r="E63" s="40"/>
      <c r="F63" s="40"/>
      <c r="G63" s="15" t="str">
        <f aca="false">IF(E63="","",E63-F63)</f>
        <v/>
      </c>
      <c r="H63" s="26"/>
    </row>
    <row r="64" customFormat="false" ht="15" hidden="false" customHeight="false" outlineLevel="0" collapsed="false">
      <c r="B64" s="45"/>
      <c r="C64" s="26"/>
      <c r="D64" s="26"/>
      <c r="E64" s="40"/>
      <c r="F64" s="40"/>
      <c r="G64" s="15" t="str">
        <f aca="false">IF(E64="","",E64-F64)</f>
        <v/>
      </c>
      <c r="H64" s="26"/>
    </row>
    <row r="65" customFormat="false" ht="15" hidden="false" customHeight="false" outlineLevel="0" collapsed="false">
      <c r="B65" s="45"/>
      <c r="C65" s="26"/>
      <c r="D65" s="26"/>
      <c r="E65" s="40"/>
      <c r="F65" s="40"/>
      <c r="G65" s="15" t="str">
        <f aca="false">IF(E65="","",E65-F65)</f>
        <v/>
      </c>
      <c r="H65" s="26"/>
    </row>
    <row r="66" customFormat="false" ht="15" hidden="false" customHeight="false" outlineLevel="0" collapsed="false">
      <c r="B66" s="45"/>
      <c r="C66" s="26"/>
      <c r="D66" s="26"/>
      <c r="E66" s="40"/>
      <c r="F66" s="40"/>
      <c r="G66" s="15" t="str">
        <f aca="false">IF(E66="","",E66-F66)</f>
        <v/>
      </c>
      <c r="H66" s="26"/>
    </row>
    <row r="67" customFormat="false" ht="15" hidden="false" customHeight="false" outlineLevel="0" collapsed="false">
      <c r="B67" s="45"/>
      <c r="C67" s="26"/>
      <c r="D67" s="26"/>
      <c r="E67" s="40"/>
      <c r="F67" s="40"/>
      <c r="G67" s="15" t="str">
        <f aca="false">IF(E67="","",E67-F67)</f>
        <v/>
      </c>
      <c r="H67" s="26"/>
    </row>
    <row r="68" customFormat="false" ht="15" hidden="false" customHeight="false" outlineLevel="0" collapsed="false">
      <c r="B68" s="45"/>
      <c r="C68" s="26"/>
      <c r="D68" s="26"/>
      <c r="E68" s="40"/>
      <c r="F68" s="40"/>
      <c r="G68" s="15" t="str">
        <f aca="false">IF(E68="","",E68-F68)</f>
        <v/>
      </c>
      <c r="H68" s="26"/>
    </row>
    <row r="69" customFormat="false" ht="15" hidden="false" customHeight="false" outlineLevel="0" collapsed="false">
      <c r="B69" s="45"/>
      <c r="C69" s="26"/>
      <c r="D69" s="26"/>
      <c r="E69" s="40"/>
      <c r="F69" s="40"/>
      <c r="G69" s="15" t="str">
        <f aca="false">IF(E69="","",E69-F69)</f>
        <v/>
      </c>
      <c r="H69" s="26"/>
    </row>
    <row r="70" customFormat="false" ht="15" hidden="false" customHeight="false" outlineLevel="0" collapsed="false">
      <c r="B70" s="45"/>
      <c r="C70" s="26"/>
      <c r="D70" s="26"/>
      <c r="E70" s="40"/>
      <c r="F70" s="40"/>
      <c r="G70" s="15" t="str">
        <f aca="false">IF(E70="","",E70-F70)</f>
        <v/>
      </c>
      <c r="H70" s="26"/>
    </row>
    <row r="71" customFormat="false" ht="15" hidden="false" customHeight="false" outlineLevel="0" collapsed="false">
      <c r="B71" s="45"/>
      <c r="C71" s="26"/>
      <c r="D71" s="26"/>
      <c r="E71" s="40"/>
      <c r="F71" s="40"/>
      <c r="G71" s="15" t="str">
        <f aca="false">IF(E71="","",E71-F71)</f>
        <v/>
      </c>
      <c r="H71" s="26"/>
    </row>
    <row r="72" customFormat="false" ht="15" hidden="false" customHeight="false" outlineLevel="0" collapsed="false">
      <c r="B72" s="45"/>
      <c r="C72" s="26"/>
      <c r="D72" s="26"/>
      <c r="E72" s="40"/>
      <c r="F72" s="40"/>
      <c r="G72" s="15" t="str">
        <f aca="false">IF(E72="","",E72-F72)</f>
        <v/>
      </c>
      <c r="H72" s="26"/>
    </row>
    <row r="73" customFormat="false" ht="15" hidden="false" customHeight="false" outlineLevel="0" collapsed="false">
      <c r="B73" s="45"/>
      <c r="C73" s="26"/>
      <c r="D73" s="26"/>
      <c r="E73" s="40"/>
      <c r="F73" s="40"/>
      <c r="G73" s="15" t="str">
        <f aca="false">IF(E73="","",E73-F73)</f>
        <v/>
      </c>
      <c r="H73" s="26"/>
    </row>
    <row r="74" customFormat="false" ht="15" hidden="false" customHeight="false" outlineLevel="0" collapsed="false">
      <c r="B74" s="45"/>
      <c r="C74" s="26"/>
      <c r="D74" s="26"/>
      <c r="E74" s="40"/>
      <c r="F74" s="40"/>
      <c r="G74" s="15" t="str">
        <f aca="false">IF(E74="","",E74-F74)</f>
        <v/>
      </c>
      <c r="H74" s="26"/>
    </row>
    <row r="75" customFormat="false" ht="15" hidden="false" customHeight="false" outlineLevel="0" collapsed="false">
      <c r="B75" s="45"/>
      <c r="C75" s="26"/>
      <c r="D75" s="26"/>
      <c r="E75" s="40"/>
      <c r="F75" s="40"/>
      <c r="G75" s="15" t="str">
        <f aca="false">IF(E75="","",E75-F75)</f>
        <v/>
      </c>
      <c r="H75" s="26"/>
    </row>
    <row r="76" customFormat="false" ht="15" hidden="false" customHeight="false" outlineLevel="0" collapsed="false">
      <c r="B76" s="45"/>
      <c r="C76" s="26"/>
      <c r="D76" s="26"/>
      <c r="E76" s="40"/>
      <c r="F76" s="40"/>
      <c r="G76" s="15" t="str">
        <f aca="false">IF(E76="","",E76-F76)</f>
        <v/>
      </c>
      <c r="H76" s="26"/>
    </row>
    <row r="77" customFormat="false" ht="15" hidden="false" customHeight="false" outlineLevel="0" collapsed="false">
      <c r="B77" s="45"/>
      <c r="C77" s="26"/>
      <c r="D77" s="26"/>
      <c r="E77" s="40"/>
      <c r="F77" s="40"/>
      <c r="G77" s="15" t="str">
        <f aca="false">IF(E77="","",E77-F77)</f>
        <v/>
      </c>
      <c r="H77" s="26"/>
    </row>
    <row r="78" customFormat="false" ht="15" hidden="false" customHeight="false" outlineLevel="0" collapsed="false">
      <c r="B78" s="45"/>
      <c r="C78" s="26"/>
      <c r="D78" s="26"/>
      <c r="E78" s="40"/>
      <c r="F78" s="40"/>
      <c r="G78" s="15" t="str">
        <f aca="false">IF(E78="","",E78-F78)</f>
        <v/>
      </c>
      <c r="H78" s="26"/>
    </row>
    <row r="79" customFormat="false" ht="15" hidden="false" customHeight="false" outlineLevel="0" collapsed="false">
      <c r="B79" s="45"/>
      <c r="C79" s="26"/>
      <c r="D79" s="26"/>
      <c r="E79" s="40"/>
      <c r="F79" s="40"/>
      <c r="G79" s="15" t="str">
        <f aca="false">IF(E79="","",E79-F79)</f>
        <v/>
      </c>
      <c r="H79" s="26"/>
    </row>
    <row r="80" customFormat="false" ht="15" hidden="false" customHeight="false" outlineLevel="0" collapsed="false">
      <c r="B80" s="45"/>
      <c r="C80" s="26"/>
      <c r="D80" s="26"/>
      <c r="E80" s="40"/>
      <c r="F80" s="40"/>
      <c r="G80" s="15" t="str">
        <f aca="false">IF(E80="","",E80-F80)</f>
        <v/>
      </c>
      <c r="H80" s="26"/>
    </row>
    <row r="81" customFormat="false" ht="15" hidden="false" customHeight="false" outlineLevel="0" collapsed="false">
      <c r="B81" s="45"/>
      <c r="C81" s="26"/>
      <c r="D81" s="26"/>
      <c r="E81" s="40"/>
      <c r="F81" s="40"/>
      <c r="G81" s="15" t="str">
        <f aca="false">IF(E81="","",E81-F81)</f>
        <v/>
      </c>
      <c r="H81" s="26"/>
    </row>
    <row r="82" customFormat="false" ht="15" hidden="false" customHeight="false" outlineLevel="0" collapsed="false">
      <c r="B82" s="45"/>
      <c r="C82" s="26"/>
      <c r="D82" s="26"/>
      <c r="E82" s="40"/>
      <c r="F82" s="40"/>
      <c r="G82" s="15" t="str">
        <f aca="false">IF(E82="","",E82-F82)</f>
        <v/>
      </c>
      <c r="H82" s="26"/>
    </row>
    <row r="83" customFormat="false" ht="15" hidden="false" customHeight="false" outlineLevel="0" collapsed="false">
      <c r="B83" s="45"/>
      <c r="C83" s="26"/>
      <c r="D83" s="26"/>
      <c r="E83" s="40"/>
      <c r="F83" s="40"/>
      <c r="G83" s="15" t="str">
        <f aca="false">IF(E83="","",E83-F83)</f>
        <v/>
      </c>
      <c r="H83" s="26"/>
    </row>
    <row r="84" customFormat="false" ht="15" hidden="false" customHeight="false" outlineLevel="0" collapsed="false">
      <c r="B84" s="45"/>
      <c r="C84" s="26"/>
      <c r="D84" s="26"/>
      <c r="E84" s="40"/>
      <c r="F84" s="40"/>
      <c r="G84" s="15" t="str">
        <f aca="false">IF(E84="","",E84-F84)</f>
        <v/>
      </c>
      <c r="H84" s="26"/>
    </row>
    <row r="85" customFormat="false" ht="15" hidden="false" customHeight="false" outlineLevel="0" collapsed="false">
      <c r="B85" s="45"/>
      <c r="C85" s="26"/>
      <c r="D85" s="26"/>
      <c r="E85" s="40"/>
      <c r="F85" s="40"/>
      <c r="G85" s="15" t="str">
        <f aca="false">IF(E85="","",E85-F85)</f>
        <v/>
      </c>
      <c r="H85" s="26"/>
    </row>
    <row r="86" customFormat="false" ht="15" hidden="false" customHeight="false" outlineLevel="0" collapsed="false">
      <c r="B86" s="45"/>
      <c r="C86" s="26"/>
      <c r="D86" s="26"/>
      <c r="E86" s="40"/>
      <c r="F86" s="40"/>
      <c r="G86" s="15" t="str">
        <f aca="false">IF(E86="","",E86-F86)</f>
        <v/>
      </c>
      <c r="H86" s="26"/>
    </row>
    <row r="87" customFormat="false" ht="15" hidden="false" customHeight="false" outlineLevel="0" collapsed="false">
      <c r="B87" s="45"/>
      <c r="C87" s="26"/>
      <c r="D87" s="26"/>
      <c r="E87" s="40"/>
      <c r="F87" s="40"/>
      <c r="G87" s="15" t="str">
        <f aca="false">IF(E87="","",E87-F87)</f>
        <v/>
      </c>
      <c r="H87" s="26"/>
    </row>
    <row r="88" customFormat="false" ht="15" hidden="false" customHeight="false" outlineLevel="0" collapsed="false">
      <c r="B88" s="45"/>
      <c r="C88" s="26"/>
      <c r="D88" s="26"/>
      <c r="E88" s="40"/>
      <c r="F88" s="40"/>
      <c r="G88" s="15" t="str">
        <f aca="false">IF(E88="","",E88-F88)</f>
        <v/>
      </c>
      <c r="H88" s="26"/>
    </row>
    <row r="89" customFormat="false" ht="15" hidden="false" customHeight="false" outlineLevel="0" collapsed="false">
      <c r="B89" s="45"/>
      <c r="C89" s="26"/>
      <c r="D89" s="26"/>
      <c r="E89" s="40"/>
      <c r="F89" s="40"/>
      <c r="G89" s="15" t="str">
        <f aca="false">IF(E89="","",E89-F89)</f>
        <v/>
      </c>
      <c r="H89" s="26"/>
    </row>
    <row r="90" customFormat="false" ht="15" hidden="false" customHeight="false" outlineLevel="0" collapsed="false">
      <c r="B90" s="45"/>
      <c r="C90" s="26"/>
      <c r="D90" s="26"/>
      <c r="E90" s="40"/>
      <c r="F90" s="40"/>
      <c r="G90" s="15" t="str">
        <f aca="false">IF(E90="","",E90-F90)</f>
        <v/>
      </c>
      <c r="H90" s="26"/>
    </row>
    <row r="91" customFormat="false" ht="15" hidden="false" customHeight="false" outlineLevel="0" collapsed="false">
      <c r="B91" s="45"/>
      <c r="C91" s="26"/>
      <c r="D91" s="26"/>
      <c r="E91" s="40"/>
      <c r="F91" s="40"/>
      <c r="G91" s="15" t="str">
        <f aca="false">IF(E91="","",E91-F91)</f>
        <v/>
      </c>
      <c r="H91" s="26"/>
    </row>
    <row r="92" customFormat="false" ht="15" hidden="false" customHeight="false" outlineLevel="0" collapsed="false">
      <c r="B92" s="45"/>
      <c r="C92" s="26"/>
      <c r="D92" s="26"/>
      <c r="E92" s="40"/>
      <c r="F92" s="40"/>
      <c r="G92" s="15" t="str">
        <f aca="false">IF(E92="","",E92-F92)</f>
        <v/>
      </c>
      <c r="H92" s="26"/>
    </row>
    <row r="93" customFormat="false" ht="15" hidden="false" customHeight="false" outlineLevel="0" collapsed="false">
      <c r="B93" s="45"/>
      <c r="C93" s="26"/>
      <c r="D93" s="26"/>
      <c r="E93" s="40"/>
      <c r="F93" s="40"/>
      <c r="G93" s="15" t="str">
        <f aca="false">IF(E93="","",E93-F93)</f>
        <v/>
      </c>
      <c r="H93" s="26"/>
    </row>
    <row r="94" customFormat="false" ht="15" hidden="false" customHeight="false" outlineLevel="0" collapsed="false">
      <c r="B94" s="45"/>
      <c r="C94" s="26"/>
      <c r="D94" s="26"/>
      <c r="E94" s="40"/>
      <c r="F94" s="40"/>
      <c r="G94" s="15" t="str">
        <f aca="false">IF(E94="","",E94-F94)</f>
        <v/>
      </c>
      <c r="H94" s="26"/>
    </row>
    <row r="95" customFormat="false" ht="15" hidden="false" customHeight="false" outlineLevel="0" collapsed="false">
      <c r="B95" s="45"/>
      <c r="C95" s="26"/>
      <c r="D95" s="26"/>
      <c r="E95" s="40"/>
      <c r="F95" s="40"/>
      <c r="G95" s="15" t="str">
        <f aca="false">IF(E95="","",E95-F95)</f>
        <v/>
      </c>
      <c r="H95" s="26"/>
    </row>
    <row r="96" customFormat="false" ht="15" hidden="false" customHeight="false" outlineLevel="0" collapsed="false">
      <c r="B96" s="45"/>
      <c r="C96" s="26"/>
      <c r="D96" s="26"/>
      <c r="E96" s="40"/>
      <c r="F96" s="40"/>
      <c r="G96" s="15" t="str">
        <f aca="false">IF(E96="","",E96-F96)</f>
        <v/>
      </c>
      <c r="H96" s="26"/>
    </row>
    <row r="97" customFormat="false" ht="15" hidden="false" customHeight="false" outlineLevel="0" collapsed="false">
      <c r="B97" s="45"/>
      <c r="C97" s="26"/>
      <c r="D97" s="26"/>
      <c r="E97" s="40"/>
      <c r="F97" s="40"/>
      <c r="G97" s="15" t="str">
        <f aca="false">IF(E97="","",E97-F97)</f>
        <v/>
      </c>
      <c r="H97" s="26"/>
    </row>
    <row r="98" customFormat="false" ht="15" hidden="false" customHeight="false" outlineLevel="0" collapsed="false">
      <c r="B98" s="45"/>
      <c r="C98" s="26"/>
      <c r="D98" s="26"/>
      <c r="E98" s="40"/>
      <c r="F98" s="40"/>
      <c r="G98" s="15" t="str">
        <f aca="false">IF(E98="","",E98-F98)</f>
        <v/>
      </c>
      <c r="H98" s="26"/>
    </row>
    <row r="99" customFormat="false" ht="15" hidden="false" customHeight="false" outlineLevel="0" collapsed="false">
      <c r="B99" s="45"/>
      <c r="C99" s="26"/>
      <c r="D99" s="26"/>
      <c r="E99" s="40"/>
      <c r="F99" s="40"/>
      <c r="G99" s="15" t="str">
        <f aca="false">IF(E99="","",E99-F99)</f>
        <v/>
      </c>
      <c r="H99" s="26"/>
    </row>
    <row r="100" customFormat="false" ht="15" hidden="false" customHeight="false" outlineLevel="0" collapsed="false">
      <c r="B100" s="45"/>
      <c r="C100" s="26"/>
      <c r="D100" s="26"/>
      <c r="E100" s="40"/>
      <c r="F100" s="40"/>
      <c r="G100" s="15" t="str">
        <f aca="false">IF(E100="","",E100-F100)</f>
        <v/>
      </c>
      <c r="H100" s="26"/>
    </row>
    <row r="101" customFormat="false" ht="15" hidden="false" customHeight="false" outlineLevel="0" collapsed="false">
      <c r="B101" s="45"/>
      <c r="C101" s="26"/>
      <c r="D101" s="26"/>
      <c r="E101" s="40"/>
      <c r="F101" s="40"/>
      <c r="G101" s="15" t="str">
        <f aca="false">IF(E101="","",E101-F101)</f>
        <v/>
      </c>
      <c r="H101" s="26"/>
    </row>
    <row r="102" customFormat="false" ht="15" hidden="false" customHeight="false" outlineLevel="0" collapsed="false">
      <c r="B102" s="45"/>
      <c r="C102" s="26"/>
      <c r="D102" s="26"/>
      <c r="E102" s="40"/>
      <c r="F102" s="40"/>
      <c r="G102" s="15" t="str">
        <f aca="false">IF(E102="","",E102-F102)</f>
        <v/>
      </c>
      <c r="H102" s="26"/>
    </row>
    <row r="103" customFormat="false" ht="15" hidden="false" customHeight="false" outlineLevel="0" collapsed="false">
      <c r="B103" s="45"/>
      <c r="C103" s="26"/>
      <c r="D103" s="26"/>
      <c r="E103" s="40"/>
      <c r="F103" s="40"/>
      <c r="G103" s="15" t="str">
        <f aca="false">IF(E103="","",E103-F103)</f>
        <v/>
      </c>
      <c r="H103" s="26"/>
    </row>
    <row r="104" customFormat="false" ht="15" hidden="false" customHeight="false" outlineLevel="0" collapsed="false">
      <c r="B104" s="45"/>
      <c r="C104" s="26"/>
      <c r="D104" s="26"/>
      <c r="E104" s="40"/>
      <c r="F104" s="40"/>
      <c r="G104" s="15" t="str">
        <f aca="false">IF(E104="","",E104-F104)</f>
        <v/>
      </c>
      <c r="H104" s="26"/>
    </row>
    <row r="105" customFormat="false" ht="15" hidden="false" customHeight="false" outlineLevel="0" collapsed="false">
      <c r="B105" s="45"/>
      <c r="C105" s="26"/>
      <c r="D105" s="26"/>
      <c r="E105" s="40"/>
      <c r="F105" s="40"/>
      <c r="G105" s="15" t="str">
        <f aca="false">IF(E105="","",E105-F105)</f>
        <v/>
      </c>
      <c r="H105" s="26"/>
    </row>
    <row r="106" customFormat="false" ht="15" hidden="false" customHeight="false" outlineLevel="0" collapsed="false">
      <c r="B106" s="45"/>
      <c r="C106" s="26"/>
      <c r="D106" s="26"/>
      <c r="E106" s="40"/>
      <c r="F106" s="40"/>
      <c r="G106" s="15" t="str">
        <f aca="false">IF(E106="","",E106-F106)</f>
        <v/>
      </c>
      <c r="H106" s="26"/>
    </row>
    <row r="107" customFormat="false" ht="15" hidden="false" customHeight="false" outlineLevel="0" collapsed="false">
      <c r="B107" s="45"/>
      <c r="C107" s="26"/>
      <c r="D107" s="26"/>
      <c r="E107" s="40"/>
      <c r="F107" s="40"/>
      <c r="G107" s="15" t="str">
        <f aca="false">IF(E107="","",E107-F107)</f>
        <v/>
      </c>
      <c r="H107" s="26"/>
    </row>
    <row r="108" customFormat="false" ht="15" hidden="false" customHeight="false" outlineLevel="0" collapsed="false">
      <c r="B108" s="45"/>
      <c r="C108" s="26"/>
      <c r="D108" s="26"/>
      <c r="E108" s="40"/>
      <c r="F108" s="40"/>
      <c r="G108" s="15" t="str">
        <f aca="false">IF(E108="","",E108-F108)</f>
        <v/>
      </c>
      <c r="H108" s="26"/>
    </row>
    <row r="109" customFormat="false" ht="15" hidden="false" customHeight="false" outlineLevel="0" collapsed="false">
      <c r="B109" s="45"/>
      <c r="C109" s="26"/>
      <c r="D109" s="26"/>
      <c r="E109" s="40"/>
      <c r="F109" s="40"/>
      <c r="G109" s="15" t="str">
        <f aca="false">IF(E109="","",E109-F109)</f>
        <v/>
      </c>
      <c r="H109" s="26"/>
    </row>
    <row r="110" customFormat="false" ht="15" hidden="false" customHeight="false" outlineLevel="0" collapsed="false">
      <c r="B110" s="45"/>
      <c r="C110" s="26"/>
      <c r="D110" s="26"/>
      <c r="E110" s="40"/>
      <c r="F110" s="40"/>
      <c r="G110" s="15" t="str">
        <f aca="false">IF(E110="","",E110-F110)</f>
        <v/>
      </c>
      <c r="H110" s="26"/>
    </row>
    <row r="111" customFormat="false" ht="15" hidden="false" customHeight="false" outlineLevel="0" collapsed="false">
      <c r="B111" s="45"/>
      <c r="C111" s="26"/>
      <c r="D111" s="26"/>
      <c r="E111" s="40"/>
      <c r="F111" s="40"/>
      <c r="G111" s="15" t="str">
        <f aca="false">IF(E111="","",E111-F111)</f>
        <v/>
      </c>
      <c r="H111" s="26"/>
    </row>
    <row r="112" customFormat="false" ht="15" hidden="false" customHeight="false" outlineLevel="0" collapsed="false">
      <c r="B112" s="45"/>
      <c r="C112" s="26"/>
      <c r="D112" s="26"/>
      <c r="E112" s="40"/>
      <c r="F112" s="40"/>
      <c r="G112" s="15" t="str">
        <f aca="false">IF(E112="","",E112-F112)</f>
        <v/>
      </c>
      <c r="H112" s="26"/>
    </row>
    <row r="113" customFormat="false" ht="15" hidden="false" customHeight="false" outlineLevel="0" collapsed="false">
      <c r="B113" s="45"/>
      <c r="C113" s="26"/>
      <c r="D113" s="26"/>
      <c r="E113" s="40"/>
      <c r="F113" s="40"/>
      <c r="G113" s="15" t="str">
        <f aca="false">IF(E113="","",E113-F113)</f>
        <v/>
      </c>
      <c r="H113" s="26"/>
    </row>
    <row r="114" customFormat="false" ht="15" hidden="false" customHeight="false" outlineLevel="0" collapsed="false">
      <c r="B114" s="45"/>
      <c r="C114" s="26"/>
      <c r="D114" s="26"/>
      <c r="E114" s="40"/>
      <c r="F114" s="40"/>
      <c r="G114" s="15" t="str">
        <f aca="false">IF(E114="","",E114-F114)</f>
        <v/>
      </c>
      <c r="H114" s="26"/>
    </row>
    <row r="115" customFormat="false" ht="15" hidden="false" customHeight="false" outlineLevel="0" collapsed="false">
      <c r="B115" s="45"/>
      <c r="C115" s="26"/>
      <c r="D115" s="26"/>
      <c r="E115" s="40"/>
      <c r="F115" s="40"/>
      <c r="G115" s="15" t="str">
        <f aca="false">IF(E115="","",E115-F115)</f>
        <v/>
      </c>
      <c r="H115" s="26"/>
    </row>
    <row r="116" customFormat="false" ht="15" hidden="false" customHeight="false" outlineLevel="0" collapsed="false">
      <c r="B116" s="45"/>
      <c r="C116" s="26"/>
      <c r="D116" s="26"/>
      <c r="E116" s="40"/>
      <c r="F116" s="40"/>
      <c r="G116" s="15" t="str">
        <f aca="false">IF(E116="","",E116-F116)</f>
        <v/>
      </c>
      <c r="H116" s="26"/>
    </row>
    <row r="117" customFormat="false" ht="15" hidden="false" customHeight="false" outlineLevel="0" collapsed="false">
      <c r="B117" s="45"/>
      <c r="C117" s="26"/>
      <c r="D117" s="26"/>
      <c r="E117" s="40"/>
      <c r="F117" s="40"/>
      <c r="G117" s="15" t="str">
        <f aca="false">IF(E117="","",E117-F117)</f>
        <v/>
      </c>
      <c r="H117" s="26"/>
    </row>
    <row r="118" customFormat="false" ht="15" hidden="false" customHeight="false" outlineLevel="0" collapsed="false">
      <c r="B118" s="45"/>
      <c r="C118" s="26"/>
      <c r="D118" s="26"/>
      <c r="E118" s="40"/>
      <c r="F118" s="40"/>
      <c r="G118" s="15" t="str">
        <f aca="false">IF(E118="","",E118-F118)</f>
        <v/>
      </c>
      <c r="H118" s="26"/>
    </row>
    <row r="119" customFormat="false" ht="15" hidden="false" customHeight="false" outlineLevel="0" collapsed="false">
      <c r="B119" s="45"/>
      <c r="C119" s="26"/>
      <c r="D119" s="26"/>
      <c r="E119" s="40"/>
      <c r="F119" s="40"/>
      <c r="G119" s="15" t="str">
        <f aca="false">IF(E119="","",E119-F119)</f>
        <v/>
      </c>
      <c r="H119" s="26"/>
    </row>
    <row r="120" customFormat="false" ht="15" hidden="false" customHeight="false" outlineLevel="0" collapsed="false">
      <c r="B120" s="45"/>
      <c r="C120" s="26"/>
      <c r="D120" s="26"/>
      <c r="E120" s="40"/>
      <c r="F120" s="40"/>
      <c r="G120" s="15" t="str">
        <f aca="false">IF(E120="","",E120-F120)</f>
        <v/>
      </c>
      <c r="H120" s="26"/>
    </row>
    <row r="121" customFormat="false" ht="15" hidden="false" customHeight="false" outlineLevel="0" collapsed="false">
      <c r="B121" s="45"/>
      <c r="C121" s="26"/>
      <c r="D121" s="26"/>
      <c r="E121" s="40"/>
      <c r="F121" s="40"/>
      <c r="G121" s="15" t="str">
        <f aca="false">IF(E121="","",E121-F121)</f>
        <v/>
      </c>
      <c r="H121" s="26"/>
    </row>
    <row r="122" customFormat="false" ht="15" hidden="false" customHeight="false" outlineLevel="0" collapsed="false">
      <c r="B122" s="45"/>
      <c r="C122" s="26"/>
      <c r="D122" s="26"/>
      <c r="E122" s="40"/>
      <c r="F122" s="40"/>
      <c r="G122" s="15" t="str">
        <f aca="false">IF(E122="","",E122-F122)</f>
        <v/>
      </c>
      <c r="H122" s="26"/>
    </row>
    <row r="123" customFormat="false" ht="15" hidden="false" customHeight="false" outlineLevel="0" collapsed="false">
      <c r="B123" s="45"/>
      <c r="C123" s="26"/>
      <c r="D123" s="26"/>
      <c r="E123" s="40"/>
      <c r="F123" s="40"/>
      <c r="G123" s="15" t="str">
        <f aca="false">IF(E123="","",E123-F123)</f>
        <v/>
      </c>
      <c r="H123" s="26"/>
    </row>
    <row r="124" customFormat="false" ht="15" hidden="false" customHeight="false" outlineLevel="0" collapsed="false">
      <c r="B124" s="45"/>
      <c r="C124" s="26"/>
      <c r="D124" s="26"/>
      <c r="E124" s="40"/>
      <c r="F124" s="40"/>
      <c r="G124" s="15" t="str">
        <f aca="false">IF(E124="","",E124-F124)</f>
        <v/>
      </c>
      <c r="H124" s="26"/>
    </row>
    <row r="125" customFormat="false" ht="15" hidden="false" customHeight="false" outlineLevel="0" collapsed="false">
      <c r="B125" s="45"/>
      <c r="C125" s="26"/>
      <c r="D125" s="26"/>
      <c r="E125" s="40"/>
      <c r="F125" s="40"/>
      <c r="G125" s="15" t="str">
        <f aca="false">IF(E125="","",E125-F125)</f>
        <v/>
      </c>
      <c r="H125" s="26"/>
    </row>
    <row r="126" customFormat="false" ht="15" hidden="false" customHeight="false" outlineLevel="0" collapsed="false">
      <c r="B126" s="45"/>
      <c r="C126" s="26"/>
      <c r="D126" s="26"/>
      <c r="E126" s="40"/>
      <c r="F126" s="40"/>
      <c r="G126" s="15" t="str">
        <f aca="false">IF(E126="","",E126-F126)</f>
        <v/>
      </c>
      <c r="H126" s="26"/>
    </row>
    <row r="127" customFormat="false" ht="15" hidden="false" customHeight="false" outlineLevel="0" collapsed="false">
      <c r="B127" s="45"/>
      <c r="C127" s="26"/>
      <c r="D127" s="26"/>
      <c r="E127" s="40"/>
      <c r="F127" s="40"/>
      <c r="G127" s="15" t="str">
        <f aca="false">IF(E127="","",E127-F127)</f>
        <v/>
      </c>
      <c r="H127" s="26"/>
    </row>
    <row r="128" customFormat="false" ht="15" hidden="false" customHeight="false" outlineLevel="0" collapsed="false">
      <c r="B128" s="45"/>
      <c r="C128" s="26"/>
      <c r="D128" s="26"/>
      <c r="E128" s="40"/>
      <c r="F128" s="40"/>
      <c r="G128" s="15" t="str">
        <f aca="false">IF(E128="","",E128-F128)</f>
        <v/>
      </c>
      <c r="H128" s="26"/>
    </row>
    <row r="129" customFormat="false" ht="15" hidden="false" customHeight="false" outlineLevel="0" collapsed="false">
      <c r="B129" s="45"/>
      <c r="C129" s="26"/>
      <c r="D129" s="26"/>
      <c r="E129" s="40"/>
      <c r="F129" s="40"/>
      <c r="G129" s="15" t="str">
        <f aca="false">IF(E129="","",E129-F129)</f>
        <v/>
      </c>
      <c r="H129" s="26"/>
    </row>
    <row r="130" customFormat="false" ht="15" hidden="false" customHeight="false" outlineLevel="0" collapsed="false">
      <c r="B130" s="45"/>
      <c r="C130" s="26"/>
      <c r="D130" s="26"/>
      <c r="E130" s="40"/>
      <c r="F130" s="40"/>
      <c r="G130" s="15" t="str">
        <f aca="false">IF(E130="","",E130-F130)</f>
        <v/>
      </c>
      <c r="H130" s="26"/>
    </row>
    <row r="131" customFormat="false" ht="15" hidden="false" customHeight="false" outlineLevel="0" collapsed="false">
      <c r="B131" s="45"/>
      <c r="C131" s="26"/>
      <c r="D131" s="26"/>
      <c r="E131" s="40"/>
      <c r="F131" s="40"/>
      <c r="G131" s="15" t="str">
        <f aca="false">IF(E131="","",E131-F131)</f>
        <v/>
      </c>
      <c r="H131" s="26"/>
    </row>
    <row r="132" customFormat="false" ht="15" hidden="false" customHeight="false" outlineLevel="0" collapsed="false">
      <c r="B132" s="45"/>
      <c r="C132" s="26"/>
      <c r="D132" s="26"/>
      <c r="E132" s="40"/>
      <c r="F132" s="40"/>
      <c r="G132" s="15" t="str">
        <f aca="false">IF(E132="","",E132-F132)</f>
        <v/>
      </c>
      <c r="H132" s="26"/>
    </row>
    <row r="133" customFormat="false" ht="15" hidden="false" customHeight="false" outlineLevel="0" collapsed="false">
      <c r="B133" s="45"/>
      <c r="C133" s="26"/>
      <c r="D133" s="26"/>
      <c r="E133" s="40"/>
      <c r="F133" s="40"/>
      <c r="G133" s="15" t="str">
        <f aca="false">IF(E133="","",E133-F133)</f>
        <v/>
      </c>
      <c r="H133" s="26"/>
    </row>
    <row r="134" customFormat="false" ht="15" hidden="false" customHeight="false" outlineLevel="0" collapsed="false">
      <c r="B134" s="45"/>
      <c r="C134" s="26"/>
      <c r="D134" s="26"/>
      <c r="E134" s="40"/>
      <c r="F134" s="40"/>
      <c r="G134" s="15" t="str">
        <f aca="false">IF(E134="","",E134-F134)</f>
        <v/>
      </c>
      <c r="H134" s="26"/>
    </row>
    <row r="135" customFormat="false" ht="15" hidden="false" customHeight="false" outlineLevel="0" collapsed="false">
      <c r="B135" s="45"/>
      <c r="C135" s="26"/>
      <c r="D135" s="26"/>
      <c r="E135" s="40"/>
      <c r="F135" s="40"/>
      <c r="G135" s="15" t="str">
        <f aca="false">IF(E135="","",E135-F135)</f>
        <v/>
      </c>
      <c r="H135" s="26"/>
    </row>
    <row r="136" customFormat="false" ht="15" hidden="false" customHeight="false" outlineLevel="0" collapsed="false">
      <c r="B136" s="45"/>
      <c r="C136" s="26"/>
      <c r="D136" s="26"/>
      <c r="E136" s="40"/>
      <c r="F136" s="40"/>
      <c r="G136" s="15" t="str">
        <f aca="false">IF(E136="","",E136-F136)</f>
        <v/>
      </c>
      <c r="H136" s="26"/>
    </row>
    <row r="137" customFormat="false" ht="15" hidden="false" customHeight="false" outlineLevel="0" collapsed="false">
      <c r="B137" s="45"/>
      <c r="C137" s="26"/>
      <c r="D137" s="26"/>
      <c r="E137" s="40"/>
      <c r="F137" s="40"/>
      <c r="G137" s="15" t="str">
        <f aca="false">IF(E137="","",E137-F137)</f>
        <v/>
      </c>
      <c r="H137" s="26"/>
    </row>
    <row r="138" customFormat="false" ht="15" hidden="false" customHeight="false" outlineLevel="0" collapsed="false">
      <c r="B138" s="45"/>
      <c r="C138" s="26"/>
      <c r="D138" s="26"/>
      <c r="E138" s="40"/>
      <c r="F138" s="40"/>
      <c r="G138" s="15" t="str">
        <f aca="false">IF(E138="","",E138-F138)</f>
        <v/>
      </c>
      <c r="H138" s="26"/>
    </row>
    <row r="139" customFormat="false" ht="15" hidden="false" customHeight="false" outlineLevel="0" collapsed="false">
      <c r="B139" s="45"/>
      <c r="C139" s="26"/>
      <c r="D139" s="26"/>
      <c r="E139" s="40"/>
      <c r="F139" s="40"/>
      <c r="G139" s="15" t="str">
        <f aca="false">IF(E139="","",E139-F139)</f>
        <v/>
      </c>
      <c r="H139" s="26"/>
    </row>
    <row r="140" customFormat="false" ht="15" hidden="false" customHeight="false" outlineLevel="0" collapsed="false">
      <c r="B140" s="45"/>
      <c r="C140" s="26"/>
      <c r="D140" s="26"/>
      <c r="E140" s="40"/>
      <c r="F140" s="40"/>
      <c r="G140" s="15" t="str">
        <f aca="false">IF(E140="","",E140-F140)</f>
        <v/>
      </c>
      <c r="H140" s="26"/>
    </row>
    <row r="141" customFormat="false" ht="15" hidden="false" customHeight="false" outlineLevel="0" collapsed="false">
      <c r="B141" s="45"/>
      <c r="C141" s="26"/>
      <c r="D141" s="26"/>
      <c r="E141" s="40"/>
      <c r="F141" s="40"/>
      <c r="G141" s="15" t="str">
        <f aca="false">IF(E141="","",E141-F141)</f>
        <v/>
      </c>
      <c r="H141" s="26"/>
    </row>
    <row r="142" customFormat="false" ht="15" hidden="false" customHeight="false" outlineLevel="0" collapsed="false">
      <c r="B142" s="45"/>
      <c r="C142" s="26"/>
      <c r="D142" s="26"/>
      <c r="E142" s="40"/>
      <c r="F142" s="40"/>
      <c r="G142" s="15" t="str">
        <f aca="false">IF(E142="","",E142-F142)</f>
        <v/>
      </c>
      <c r="H142" s="26"/>
    </row>
    <row r="143" customFormat="false" ht="15" hidden="false" customHeight="false" outlineLevel="0" collapsed="false">
      <c r="B143" s="45"/>
      <c r="C143" s="26"/>
      <c r="D143" s="26"/>
      <c r="E143" s="40"/>
      <c r="F143" s="40"/>
      <c r="G143" s="15" t="str">
        <f aca="false">IF(E143="","",E143-F143)</f>
        <v/>
      </c>
      <c r="H143" s="26"/>
    </row>
    <row r="144" customFormat="false" ht="15" hidden="false" customHeight="false" outlineLevel="0" collapsed="false">
      <c r="B144" s="45"/>
      <c r="C144" s="26"/>
      <c r="D144" s="26"/>
      <c r="E144" s="40"/>
      <c r="F144" s="40"/>
      <c r="G144" s="15" t="str">
        <f aca="false">IF(E144="","",E144-F144)</f>
        <v/>
      </c>
      <c r="H144" s="26"/>
    </row>
    <row r="145" customFormat="false" ht="15" hidden="false" customHeight="false" outlineLevel="0" collapsed="false">
      <c r="B145" s="45"/>
      <c r="C145" s="26"/>
      <c r="D145" s="26"/>
      <c r="E145" s="40"/>
      <c r="F145" s="40"/>
      <c r="G145" s="15" t="str">
        <f aca="false">IF(E145="","",E145-F145)</f>
        <v/>
      </c>
      <c r="H145" s="26"/>
    </row>
    <row r="146" customFormat="false" ht="15" hidden="false" customHeight="false" outlineLevel="0" collapsed="false">
      <c r="B146" s="45"/>
      <c r="C146" s="26"/>
      <c r="D146" s="26"/>
      <c r="E146" s="40"/>
      <c r="F146" s="40"/>
      <c r="G146" s="15" t="str">
        <f aca="false">IF(E146="","",E146-F146)</f>
        <v/>
      </c>
      <c r="H146" s="26"/>
    </row>
    <row r="147" customFormat="false" ht="15" hidden="false" customHeight="false" outlineLevel="0" collapsed="false">
      <c r="B147" s="45"/>
      <c r="C147" s="26"/>
      <c r="D147" s="26"/>
      <c r="E147" s="40"/>
      <c r="F147" s="40"/>
      <c r="G147" s="15" t="str">
        <f aca="false">IF(E147="","",E147-F147)</f>
        <v/>
      </c>
      <c r="H147" s="26"/>
    </row>
    <row r="148" customFormat="false" ht="15" hidden="false" customHeight="false" outlineLevel="0" collapsed="false">
      <c r="B148" s="45"/>
      <c r="C148" s="26"/>
      <c r="D148" s="26"/>
      <c r="E148" s="40"/>
      <c r="F148" s="40"/>
      <c r="G148" s="15" t="str">
        <f aca="false">IF(E148="","",E148-F148)</f>
        <v/>
      </c>
      <c r="H148" s="26"/>
    </row>
    <row r="149" customFormat="false" ht="15" hidden="false" customHeight="false" outlineLevel="0" collapsed="false">
      <c r="B149" s="45"/>
      <c r="C149" s="26"/>
      <c r="D149" s="26"/>
      <c r="E149" s="40"/>
      <c r="F149" s="40"/>
      <c r="G149" s="15" t="str">
        <f aca="false">IF(E149="","",E149-F149)</f>
        <v/>
      </c>
      <c r="H149" s="26"/>
    </row>
    <row r="150" customFormat="false" ht="15" hidden="false" customHeight="false" outlineLevel="0" collapsed="false">
      <c r="B150" s="45"/>
      <c r="C150" s="26"/>
      <c r="D150" s="26"/>
      <c r="E150" s="40"/>
      <c r="F150" s="40"/>
      <c r="G150" s="15" t="str">
        <f aca="false">IF(E150="","",E150-F150)</f>
        <v/>
      </c>
      <c r="H150" s="26"/>
    </row>
    <row r="151" customFormat="false" ht="15" hidden="false" customHeight="false" outlineLevel="0" collapsed="false">
      <c r="B151" s="45"/>
      <c r="C151" s="26"/>
      <c r="D151" s="26"/>
      <c r="E151" s="40"/>
      <c r="F151" s="40"/>
      <c r="G151" s="15" t="str">
        <f aca="false">IF(E151="","",E151-F151)</f>
        <v/>
      </c>
      <c r="H151" s="26"/>
    </row>
    <row r="152" customFormat="false" ht="15" hidden="false" customHeight="false" outlineLevel="0" collapsed="false">
      <c r="B152" s="45"/>
      <c r="C152" s="26"/>
      <c r="D152" s="26"/>
      <c r="E152" s="40"/>
      <c r="F152" s="40"/>
      <c r="G152" s="15" t="str">
        <f aca="false">IF(E152="","",E152-F152)</f>
        <v/>
      </c>
      <c r="H152" s="26"/>
    </row>
    <row r="153" customFormat="false" ht="15" hidden="false" customHeight="false" outlineLevel="0" collapsed="false">
      <c r="B153" s="45"/>
      <c r="C153" s="26"/>
      <c r="D153" s="26"/>
      <c r="E153" s="40"/>
      <c r="F153" s="40"/>
      <c r="G153" s="15" t="str">
        <f aca="false">IF(E153="","",E153-F153)</f>
        <v/>
      </c>
      <c r="H153" s="26"/>
    </row>
    <row r="154" customFormat="false" ht="15" hidden="false" customHeight="false" outlineLevel="0" collapsed="false">
      <c r="B154" s="45"/>
      <c r="C154" s="26"/>
      <c r="D154" s="26"/>
      <c r="E154" s="40"/>
      <c r="F154" s="40"/>
      <c r="G154" s="15" t="str">
        <f aca="false">IF(E154="","",E154-F154)</f>
        <v/>
      </c>
      <c r="H154" s="26"/>
    </row>
    <row r="155" customFormat="false" ht="15" hidden="false" customHeight="false" outlineLevel="0" collapsed="false">
      <c r="B155" s="45"/>
      <c r="C155" s="26"/>
      <c r="D155" s="26"/>
      <c r="E155" s="40"/>
      <c r="F155" s="40"/>
      <c r="G155" s="15" t="str">
        <f aca="false">IF(E155="","",E155-F155)</f>
        <v/>
      </c>
      <c r="H155" s="26"/>
    </row>
    <row r="156" customFormat="false" ht="15" hidden="false" customHeight="false" outlineLevel="0" collapsed="false">
      <c r="B156" s="45"/>
      <c r="C156" s="26"/>
      <c r="D156" s="26"/>
      <c r="E156" s="40"/>
      <c r="F156" s="40"/>
      <c r="G156" s="15" t="str">
        <f aca="false">IF(E156="","",E156-F156)</f>
        <v/>
      </c>
      <c r="H156" s="26"/>
    </row>
    <row r="157" customFormat="false" ht="15" hidden="false" customHeight="false" outlineLevel="0" collapsed="false">
      <c r="B157" s="45"/>
      <c r="C157" s="26"/>
      <c r="D157" s="26"/>
      <c r="E157" s="40"/>
      <c r="F157" s="40"/>
      <c r="G157" s="15" t="str">
        <f aca="false">IF(E157="","",E157-F157)</f>
        <v/>
      </c>
      <c r="H157" s="26"/>
    </row>
    <row r="158" customFormat="false" ht="15" hidden="false" customHeight="false" outlineLevel="0" collapsed="false">
      <c r="B158" s="45"/>
      <c r="C158" s="26"/>
      <c r="D158" s="26"/>
      <c r="E158" s="40"/>
      <c r="F158" s="40"/>
      <c r="G158" s="15" t="str">
        <f aca="false">IF(E158="","",E158-F158)</f>
        <v/>
      </c>
      <c r="H158" s="26"/>
    </row>
    <row r="159" customFormat="false" ht="15" hidden="false" customHeight="false" outlineLevel="0" collapsed="false">
      <c r="B159" s="45"/>
      <c r="C159" s="26"/>
      <c r="D159" s="26"/>
      <c r="E159" s="40"/>
      <c r="F159" s="40"/>
      <c r="G159" s="15" t="str">
        <f aca="false">IF(E159="","",E159-F159)</f>
        <v/>
      </c>
      <c r="H159" s="26"/>
    </row>
    <row r="160" customFormat="false" ht="15" hidden="false" customHeight="false" outlineLevel="0" collapsed="false">
      <c r="B160" s="45"/>
      <c r="C160" s="26"/>
      <c r="D160" s="26"/>
      <c r="E160" s="40"/>
      <c r="F160" s="40"/>
      <c r="G160" s="15" t="str">
        <f aca="false">IF(E160="","",E160-F160)</f>
        <v/>
      </c>
      <c r="H160" s="26"/>
    </row>
    <row r="161" customFormat="false" ht="15" hidden="false" customHeight="false" outlineLevel="0" collapsed="false">
      <c r="B161" s="45"/>
      <c r="C161" s="26"/>
      <c r="D161" s="26"/>
      <c r="E161" s="40"/>
      <c r="F161" s="40"/>
      <c r="G161" s="15" t="str">
        <f aca="false">IF(E161="","",E161-F161)</f>
        <v/>
      </c>
      <c r="H161" s="26"/>
    </row>
    <row r="162" customFormat="false" ht="15" hidden="false" customHeight="false" outlineLevel="0" collapsed="false">
      <c r="B162" s="45"/>
      <c r="C162" s="26"/>
      <c r="D162" s="26"/>
      <c r="E162" s="40"/>
      <c r="F162" s="40"/>
      <c r="G162" s="15" t="str">
        <f aca="false">IF(E162="","",E162-F162)</f>
        <v/>
      </c>
      <c r="H162" s="26"/>
    </row>
    <row r="163" customFormat="false" ht="15" hidden="false" customHeight="false" outlineLevel="0" collapsed="false">
      <c r="B163" s="45"/>
      <c r="C163" s="26"/>
      <c r="D163" s="26"/>
      <c r="E163" s="40"/>
      <c r="F163" s="40"/>
      <c r="G163" s="15" t="str">
        <f aca="false">IF(E163="","",E163-F163)</f>
        <v/>
      </c>
      <c r="H163" s="26"/>
    </row>
    <row r="164" customFormat="false" ht="15" hidden="false" customHeight="false" outlineLevel="0" collapsed="false">
      <c r="B164" s="45"/>
      <c r="C164" s="26"/>
      <c r="D164" s="26"/>
      <c r="E164" s="40"/>
      <c r="F164" s="40"/>
      <c r="G164" s="15" t="str">
        <f aca="false">IF(E164="","",E164-F164)</f>
        <v/>
      </c>
      <c r="H164" s="26"/>
    </row>
    <row r="165" customFormat="false" ht="15" hidden="false" customHeight="false" outlineLevel="0" collapsed="false">
      <c r="B165" s="45"/>
      <c r="C165" s="26"/>
      <c r="D165" s="26"/>
      <c r="E165" s="40"/>
      <c r="F165" s="40"/>
      <c r="G165" s="15" t="str">
        <f aca="false">IF(E165="","",E165-F165)</f>
        <v/>
      </c>
      <c r="H165" s="26"/>
    </row>
    <row r="166" customFormat="false" ht="15" hidden="false" customHeight="false" outlineLevel="0" collapsed="false">
      <c r="B166" s="45"/>
      <c r="C166" s="26"/>
      <c r="D166" s="26"/>
      <c r="E166" s="40"/>
      <c r="F166" s="40"/>
      <c r="G166" s="15" t="str">
        <f aca="false">IF(E166="","",E166-F166)</f>
        <v/>
      </c>
      <c r="H166" s="26"/>
    </row>
    <row r="167" customFormat="false" ht="15" hidden="false" customHeight="false" outlineLevel="0" collapsed="false">
      <c r="B167" s="45"/>
      <c r="C167" s="26"/>
      <c r="D167" s="26"/>
      <c r="E167" s="40"/>
      <c r="F167" s="40"/>
      <c r="G167" s="15" t="str">
        <f aca="false">IF(E167="","",E167-F167)</f>
        <v/>
      </c>
      <c r="H167" s="26"/>
    </row>
    <row r="168" customFormat="false" ht="15" hidden="false" customHeight="false" outlineLevel="0" collapsed="false">
      <c r="B168" s="45"/>
      <c r="C168" s="26"/>
      <c r="D168" s="26"/>
      <c r="E168" s="40"/>
      <c r="F168" s="40"/>
      <c r="G168" s="15" t="str">
        <f aca="false">IF(E168="","",E168-F168)</f>
        <v/>
      </c>
      <c r="H168" s="26"/>
    </row>
    <row r="169" customFormat="false" ht="15" hidden="false" customHeight="false" outlineLevel="0" collapsed="false">
      <c r="B169" s="45"/>
      <c r="C169" s="26"/>
      <c r="D169" s="26"/>
      <c r="E169" s="40"/>
      <c r="F169" s="40"/>
      <c r="G169" s="15" t="str">
        <f aca="false">IF(E169="","",E169-F169)</f>
        <v/>
      </c>
      <c r="H169" s="26"/>
    </row>
    <row r="170" customFormat="false" ht="15" hidden="false" customHeight="false" outlineLevel="0" collapsed="false">
      <c r="B170" s="45"/>
      <c r="C170" s="26"/>
      <c r="D170" s="26"/>
      <c r="E170" s="40"/>
      <c r="F170" s="40"/>
      <c r="G170" s="15" t="str">
        <f aca="false">IF(E170="","",E170-F170)</f>
        <v/>
      </c>
      <c r="H170" s="26"/>
    </row>
    <row r="171" customFormat="false" ht="15" hidden="false" customHeight="false" outlineLevel="0" collapsed="false">
      <c r="B171" s="45"/>
      <c r="C171" s="26"/>
      <c r="D171" s="26"/>
      <c r="E171" s="40"/>
      <c r="F171" s="40"/>
      <c r="G171" s="15" t="str">
        <f aca="false">IF(E171="","",E171-F171)</f>
        <v/>
      </c>
      <c r="H171" s="26"/>
    </row>
    <row r="172" customFormat="false" ht="15" hidden="false" customHeight="false" outlineLevel="0" collapsed="false">
      <c r="B172" s="45"/>
      <c r="C172" s="26"/>
      <c r="D172" s="26"/>
      <c r="E172" s="40"/>
      <c r="F172" s="40"/>
      <c r="G172" s="15" t="str">
        <f aca="false">IF(E172="","",E172-F172)</f>
        <v/>
      </c>
      <c r="H172" s="26"/>
    </row>
    <row r="173" customFormat="false" ht="15" hidden="false" customHeight="false" outlineLevel="0" collapsed="false">
      <c r="B173" s="45"/>
      <c r="C173" s="26"/>
      <c r="D173" s="26"/>
      <c r="E173" s="40"/>
      <c r="F173" s="40"/>
      <c r="G173" s="15" t="str">
        <f aca="false">IF(E173="","",E173-F173)</f>
        <v/>
      </c>
      <c r="H173" s="26"/>
    </row>
    <row r="174" customFormat="false" ht="15" hidden="false" customHeight="false" outlineLevel="0" collapsed="false">
      <c r="B174" s="45"/>
      <c r="C174" s="26"/>
      <c r="D174" s="26"/>
      <c r="E174" s="40"/>
      <c r="F174" s="40"/>
      <c r="G174" s="15" t="str">
        <f aca="false">IF(E174="","",E174-F174)</f>
        <v/>
      </c>
      <c r="H174" s="26"/>
    </row>
    <row r="175" customFormat="false" ht="15" hidden="false" customHeight="false" outlineLevel="0" collapsed="false">
      <c r="B175" s="45"/>
      <c r="C175" s="26"/>
      <c r="D175" s="26"/>
      <c r="E175" s="40"/>
      <c r="F175" s="40"/>
      <c r="G175" s="15" t="str">
        <f aca="false">IF(E175="","",E175-F175)</f>
        <v/>
      </c>
      <c r="H175" s="26"/>
    </row>
    <row r="176" customFormat="false" ht="15" hidden="false" customHeight="false" outlineLevel="0" collapsed="false">
      <c r="B176" s="45"/>
      <c r="C176" s="26"/>
      <c r="D176" s="26"/>
      <c r="E176" s="40"/>
      <c r="F176" s="40"/>
      <c r="G176" s="15" t="str">
        <f aca="false">IF(E176="","",E176-F176)</f>
        <v/>
      </c>
      <c r="H176" s="26"/>
    </row>
    <row r="177" customFormat="false" ht="15" hidden="false" customHeight="false" outlineLevel="0" collapsed="false">
      <c r="B177" s="45"/>
      <c r="C177" s="26"/>
      <c r="D177" s="26"/>
      <c r="E177" s="40"/>
      <c r="F177" s="40"/>
      <c r="G177" s="15" t="str">
        <f aca="false">IF(E177="","",E177-F177)</f>
        <v/>
      </c>
      <c r="H177" s="26"/>
    </row>
    <row r="178" customFormat="false" ht="15" hidden="false" customHeight="false" outlineLevel="0" collapsed="false">
      <c r="B178" s="45"/>
      <c r="C178" s="26"/>
      <c r="D178" s="26"/>
      <c r="E178" s="40"/>
      <c r="F178" s="40"/>
      <c r="G178" s="15" t="str">
        <f aca="false">IF(E178="","",E178-F178)</f>
        <v/>
      </c>
      <c r="H178" s="26"/>
    </row>
    <row r="179" customFormat="false" ht="15" hidden="false" customHeight="false" outlineLevel="0" collapsed="false">
      <c r="B179" s="45"/>
      <c r="C179" s="26"/>
      <c r="D179" s="26"/>
      <c r="E179" s="40"/>
      <c r="F179" s="40"/>
      <c r="G179" s="15" t="str">
        <f aca="false">IF(E179="","",E179-F179)</f>
        <v/>
      </c>
      <c r="H179" s="26"/>
    </row>
    <row r="180" customFormat="false" ht="15" hidden="false" customHeight="false" outlineLevel="0" collapsed="false">
      <c r="B180" s="45"/>
      <c r="C180" s="26"/>
      <c r="D180" s="26"/>
      <c r="E180" s="40"/>
      <c r="F180" s="40"/>
      <c r="G180" s="15" t="str">
        <f aca="false">IF(E180="","",E180-F180)</f>
        <v/>
      </c>
      <c r="H180" s="26"/>
    </row>
    <row r="181" customFormat="false" ht="15" hidden="false" customHeight="false" outlineLevel="0" collapsed="false">
      <c r="B181" s="45"/>
      <c r="C181" s="26"/>
      <c r="D181" s="26"/>
      <c r="E181" s="40"/>
      <c r="F181" s="40"/>
      <c r="G181" s="15" t="str">
        <f aca="false">IF(E181="","",E181-F181)</f>
        <v/>
      </c>
      <c r="H181" s="26"/>
    </row>
    <row r="182" customFormat="false" ht="15" hidden="false" customHeight="false" outlineLevel="0" collapsed="false">
      <c r="B182" s="45"/>
      <c r="C182" s="26"/>
      <c r="D182" s="26"/>
      <c r="E182" s="40"/>
      <c r="F182" s="40"/>
      <c r="G182" s="15" t="str">
        <f aca="false">IF(E182="","",E182-F182)</f>
        <v/>
      </c>
      <c r="H182" s="26"/>
    </row>
    <row r="183" customFormat="false" ht="15" hidden="false" customHeight="false" outlineLevel="0" collapsed="false">
      <c r="B183" s="45"/>
      <c r="C183" s="26"/>
      <c r="D183" s="26"/>
      <c r="E183" s="40"/>
      <c r="F183" s="40"/>
      <c r="G183" s="15" t="str">
        <f aca="false">IF(E183="","",E183-F183)</f>
        <v/>
      </c>
      <c r="H183" s="26"/>
    </row>
    <row r="184" customFormat="false" ht="15" hidden="false" customHeight="false" outlineLevel="0" collapsed="false">
      <c r="B184" s="45"/>
      <c r="C184" s="26"/>
      <c r="D184" s="26"/>
      <c r="E184" s="40"/>
      <c r="F184" s="40"/>
      <c r="G184" s="15" t="str">
        <f aca="false">IF(E184="","",E184-F184)</f>
        <v/>
      </c>
      <c r="H184" s="26"/>
    </row>
    <row r="185" customFormat="false" ht="15" hidden="false" customHeight="false" outlineLevel="0" collapsed="false">
      <c r="B185" s="45"/>
      <c r="C185" s="26"/>
      <c r="D185" s="26"/>
      <c r="E185" s="40"/>
      <c r="F185" s="40"/>
      <c r="G185" s="15" t="str">
        <f aca="false">IF(E185="","",E185-F185)</f>
        <v/>
      </c>
      <c r="H185" s="26"/>
    </row>
    <row r="186" customFormat="false" ht="15" hidden="false" customHeight="false" outlineLevel="0" collapsed="false">
      <c r="B186" s="45"/>
      <c r="C186" s="26"/>
      <c r="D186" s="26"/>
      <c r="E186" s="40"/>
      <c r="F186" s="40"/>
      <c r="G186" s="15" t="str">
        <f aca="false">IF(E186="","",E186-F186)</f>
        <v/>
      </c>
      <c r="H186" s="26"/>
    </row>
    <row r="187" customFormat="false" ht="15" hidden="false" customHeight="false" outlineLevel="0" collapsed="false">
      <c r="B187" s="45"/>
      <c r="C187" s="26"/>
      <c r="D187" s="26"/>
      <c r="E187" s="40"/>
      <c r="F187" s="40"/>
      <c r="G187" s="15" t="str">
        <f aca="false">IF(E187="","",E187-F187)</f>
        <v/>
      </c>
      <c r="H187" s="26"/>
    </row>
    <row r="188" customFormat="false" ht="15" hidden="false" customHeight="false" outlineLevel="0" collapsed="false">
      <c r="B188" s="45"/>
      <c r="C188" s="26"/>
      <c r="D188" s="26"/>
      <c r="E188" s="40"/>
      <c r="F188" s="40"/>
      <c r="G188" s="15" t="str">
        <f aca="false">IF(E188="","",E188-F188)</f>
        <v/>
      </c>
      <c r="H188" s="26"/>
    </row>
    <row r="189" customFormat="false" ht="15" hidden="false" customHeight="false" outlineLevel="0" collapsed="false">
      <c r="B189" s="45"/>
      <c r="C189" s="26"/>
      <c r="D189" s="26"/>
      <c r="E189" s="40"/>
      <c r="F189" s="40"/>
      <c r="G189" s="15" t="str">
        <f aca="false">IF(E189="","",E189-F189)</f>
        <v/>
      </c>
      <c r="H189" s="26"/>
    </row>
    <row r="190" customFormat="false" ht="15" hidden="false" customHeight="false" outlineLevel="0" collapsed="false">
      <c r="B190" s="45"/>
      <c r="C190" s="26"/>
      <c r="D190" s="26"/>
      <c r="E190" s="40"/>
      <c r="F190" s="40"/>
      <c r="G190" s="15" t="str">
        <f aca="false">IF(E190="","",E190-F190)</f>
        <v/>
      </c>
      <c r="H190" s="26"/>
    </row>
    <row r="191" customFormat="false" ht="15" hidden="false" customHeight="false" outlineLevel="0" collapsed="false">
      <c r="B191" s="45"/>
      <c r="C191" s="26"/>
      <c r="D191" s="26"/>
      <c r="E191" s="40"/>
      <c r="F191" s="40"/>
      <c r="G191" s="15" t="str">
        <f aca="false">IF(E191="","",E191-F191)</f>
        <v/>
      </c>
      <c r="H191" s="26"/>
    </row>
    <row r="192" customFormat="false" ht="15" hidden="false" customHeight="false" outlineLevel="0" collapsed="false">
      <c r="B192" s="45"/>
      <c r="C192" s="26"/>
      <c r="D192" s="26"/>
      <c r="E192" s="40"/>
      <c r="F192" s="40"/>
      <c r="G192" s="15" t="str">
        <f aca="false">IF(E192="","",E192-F192)</f>
        <v/>
      </c>
      <c r="H192" s="26"/>
    </row>
    <row r="193" customFormat="false" ht="15" hidden="false" customHeight="false" outlineLevel="0" collapsed="false">
      <c r="B193" s="45"/>
      <c r="C193" s="26"/>
      <c r="D193" s="26"/>
      <c r="E193" s="40"/>
      <c r="F193" s="40"/>
      <c r="G193" s="15" t="str">
        <f aca="false">IF(E193="","",E193-F193)</f>
        <v/>
      </c>
      <c r="H193" s="26"/>
    </row>
    <row r="194" customFormat="false" ht="15" hidden="false" customHeight="false" outlineLevel="0" collapsed="false">
      <c r="B194" s="45"/>
      <c r="C194" s="26"/>
      <c r="D194" s="26"/>
      <c r="E194" s="40"/>
      <c r="F194" s="40"/>
      <c r="G194" s="15" t="str">
        <f aca="false">IF(E194="","",E194-F194)</f>
        <v/>
      </c>
      <c r="H194" s="26"/>
    </row>
    <row r="195" customFormat="false" ht="15" hidden="false" customHeight="false" outlineLevel="0" collapsed="false">
      <c r="B195" s="45"/>
      <c r="C195" s="26"/>
      <c r="D195" s="26"/>
      <c r="E195" s="40"/>
      <c r="F195" s="40"/>
      <c r="G195" s="15" t="str">
        <f aca="false">IF(E195="","",E195-F195)</f>
        <v/>
      </c>
      <c r="H195" s="26"/>
    </row>
    <row r="196" customFormat="false" ht="15" hidden="false" customHeight="false" outlineLevel="0" collapsed="false">
      <c r="B196" s="45"/>
      <c r="C196" s="26"/>
      <c r="D196" s="26"/>
      <c r="E196" s="40"/>
      <c r="F196" s="40"/>
      <c r="G196" s="15" t="str">
        <f aca="false">IF(E196="","",E196-F196)</f>
        <v/>
      </c>
      <c r="H196" s="26"/>
    </row>
    <row r="197" customFormat="false" ht="15" hidden="false" customHeight="false" outlineLevel="0" collapsed="false">
      <c r="B197" s="45"/>
      <c r="C197" s="26"/>
      <c r="D197" s="26"/>
      <c r="E197" s="40"/>
      <c r="F197" s="40"/>
      <c r="G197" s="15" t="str">
        <f aca="false">IF(E197="","",E197-F197)</f>
        <v/>
      </c>
      <c r="H197" s="26"/>
    </row>
    <row r="198" customFormat="false" ht="15" hidden="false" customHeight="false" outlineLevel="0" collapsed="false">
      <c r="B198" s="45"/>
      <c r="C198" s="26"/>
      <c r="D198" s="26"/>
      <c r="E198" s="40"/>
      <c r="F198" s="40"/>
      <c r="G198" s="15" t="str">
        <f aca="false">IF(E198="","",E198-F198)</f>
        <v/>
      </c>
      <c r="H198" s="26"/>
    </row>
    <row r="199" customFormat="false" ht="15" hidden="false" customHeight="false" outlineLevel="0" collapsed="false">
      <c r="B199" s="45"/>
      <c r="C199" s="26"/>
      <c r="D199" s="26"/>
      <c r="E199" s="40"/>
      <c r="F199" s="40"/>
      <c r="G199" s="15" t="str">
        <f aca="false">IF(E199="","",E199-F199)</f>
        <v/>
      </c>
      <c r="H199" s="26"/>
    </row>
    <row r="200" customFormat="false" ht="15" hidden="false" customHeight="false" outlineLevel="0" collapsed="false">
      <c r="B200" s="45"/>
      <c r="C200" s="26"/>
      <c r="D200" s="26"/>
      <c r="E200" s="40"/>
      <c r="F200" s="40"/>
      <c r="G200" s="15" t="str">
        <f aca="false">IF(E200="","",E200-F200)</f>
        <v/>
      </c>
      <c r="H200" s="26"/>
    </row>
    <row r="201" customFormat="false" ht="15" hidden="false" customHeight="false" outlineLevel="0" collapsed="false">
      <c r="B201" s="45"/>
      <c r="C201" s="26"/>
      <c r="D201" s="26"/>
      <c r="E201" s="40"/>
      <c r="F201" s="40"/>
      <c r="G201" s="15" t="str">
        <f aca="false">IF(E201="","",E201-F201)</f>
        <v/>
      </c>
      <c r="H201" s="26"/>
    </row>
    <row r="202" customFormat="false" ht="15" hidden="false" customHeight="false" outlineLevel="0" collapsed="false">
      <c r="B202" s="45"/>
      <c r="C202" s="26"/>
      <c r="D202" s="26"/>
      <c r="E202" s="40"/>
      <c r="F202" s="40"/>
      <c r="G202" s="15" t="str">
        <f aca="false">IF(E202="","",E202-F202)</f>
        <v/>
      </c>
      <c r="H202" s="26"/>
    </row>
    <row r="203" customFormat="false" ht="15" hidden="false" customHeight="false" outlineLevel="0" collapsed="false">
      <c r="B203" s="45"/>
      <c r="C203" s="26"/>
      <c r="D203" s="26"/>
      <c r="E203" s="40"/>
      <c r="F203" s="40"/>
      <c r="G203" s="15" t="str">
        <f aca="false">IF(E203="","",E203-F203)</f>
        <v/>
      </c>
      <c r="H203" s="26"/>
    </row>
    <row r="204" customFormat="false" ht="15" hidden="false" customHeight="false" outlineLevel="0" collapsed="false">
      <c r="B204" s="45"/>
      <c r="C204" s="26"/>
      <c r="D204" s="26"/>
      <c r="E204" s="40"/>
      <c r="F204" s="40"/>
      <c r="G204" s="15" t="str">
        <f aca="false">IF(E204="","",E204-F204)</f>
        <v/>
      </c>
      <c r="H204" s="26"/>
    </row>
    <row r="205" customFormat="false" ht="15" hidden="false" customHeight="false" outlineLevel="0" collapsed="false">
      <c r="B205" s="45"/>
      <c r="C205" s="26"/>
      <c r="D205" s="26"/>
      <c r="E205" s="40"/>
      <c r="F205" s="40"/>
      <c r="G205" s="15" t="str">
        <f aca="false">IF(E205="","",E205-F205)</f>
        <v/>
      </c>
      <c r="H205" s="26"/>
    </row>
    <row r="206" customFormat="false" ht="15" hidden="false" customHeight="false" outlineLevel="0" collapsed="false">
      <c r="B206" s="45"/>
      <c r="C206" s="26"/>
      <c r="D206" s="26"/>
      <c r="E206" s="40"/>
      <c r="F206" s="40"/>
      <c r="G206" s="15" t="str">
        <f aca="false">IF(E206="","",E206-F206)</f>
        <v/>
      </c>
      <c r="H206" s="26"/>
    </row>
    <row r="207" customFormat="false" ht="15" hidden="false" customHeight="false" outlineLevel="0" collapsed="false">
      <c r="B207" s="45"/>
      <c r="C207" s="26"/>
      <c r="D207" s="26"/>
      <c r="E207" s="40"/>
      <c r="F207" s="40"/>
      <c r="G207" s="15" t="str">
        <f aca="false">IF(E207="","",E207-F207)</f>
        <v/>
      </c>
      <c r="H207" s="26"/>
    </row>
  </sheetData>
  <sheetProtection sheet="true" formatColumns="false" formatRows="false"/>
  <mergeCells count="3">
    <mergeCell ref="B2:L2"/>
    <mergeCell ref="B3:L3"/>
    <mergeCell ref="B5:L5"/>
  </mergeCells>
  <conditionalFormatting sqref="K18">
    <cfRule type="expression" priority="2" aboveAverage="0" equalAverage="0" bottom="0" percent="0" rank="0" text="" dxfId="0">
      <formula>LEFT(K18,1)="✔"</formula>
    </cfRule>
    <cfRule type="expression" priority="3" aboveAverage="0" equalAverage="0" bottom="0" percent="0" rank="0" text="" dxfId="1">
      <formula>LEFT(K18,1)="⚠"</formula>
    </cfRule>
    <cfRule type="expression" priority="4" aboveAverage="0" equalAverage="0" bottom="0" percent="0" rank="0" text="" dxfId="2">
      <formula>LEFT(K18,1)="✖"</formula>
    </cfRule>
  </conditionalFormatting>
  <dataValidations count="4">
    <dataValidation allowBlank="true" error="A data deve estar dentro do ano-calendário definido no menu INÍCIO (dd/mm/aaaa)." errorStyle="stop" errorTitle="Data fora do ano-calendário" operator="between" prompt="Dia do recebimento (dd/mm/aaaa)." promptTitle="Data" showDropDown="false" showErrorMessage="true" showInputMessage="true" sqref="B8:B207" type="date">
      <formula1>DATE(ANO_BASE,1,1)</formula1>
      <formula2>DATE(ANO_BASE,12,31)</formula2>
    </dataValidation>
    <dataValidation allowBlank="true" error="Escolha uma categoria da lista." errorStyle="stop" errorTitle="Categoria inválida" operator="between" showDropDown="false" showErrorMessage="true" showInputMessage="true" sqref="C8:C207" type="list">
      <formula1>CATEGORIAS</formula1>
      <formula2>0</formula2>
    </dataValidation>
    <dataValidation allowBlank="true" error="Informe um valor maior ou igual a zero." errorStyle="stop" errorTitle="Valor inválido" operator="greaterThanOrEqual" showDropDown="false" showErrorMessage="true" showInputMessage="true" sqref="E8:E207" type="decimal">
      <formula1>0</formula1>
      <formula2>0</formula2>
    </dataValidation>
    <dataValidation allowBlank="true" error="O IR retido deve ser um número maior ou igual a zero e não pode superar o valor bruto." errorStyle="stop" errorTitle="IR retido inválido" operator="between" showDropDown="false" showErrorMessage="true" showInputMessage="true" sqref="F8:F207" type="custom">
      <formula1>AND(ISNUMBER(F8),F8&gt;=0,F8&lt;=E8)</formula1>
      <formula2>0</formula2>
    </dataValidation>
  </dataValidations>
  <hyperlinks>
    <hyperlink ref="B4" location="'INÍCIO'!A1" display="◀ Menu principal"/>
    <hyperlink ref="H4" location="'DEDUÇÕES'!A1" display="Próxima etapa: Deduções ▶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32"/>
    <col collapsed="false" customWidth="true" hidden="false" outlineLevel="0" max="8" min="8" style="0" width="12"/>
    <col collapsed="false" customWidth="true" hidden="false" outlineLevel="0" max="9" min="9" style="0" width="3"/>
    <col collapsed="false" customWidth="true" hidden="false" outlineLevel="0" max="10" min="10" style="0" width="30"/>
    <col collapsed="false" customWidth="true" hidden="false" outlineLevel="0" max="11" min="11" style="0" width="18"/>
  </cols>
  <sheetData>
    <row r="2" customFormat="false" ht="30" hidden="false" customHeight="true" outlineLevel="0" collapsed="false">
      <c r="B2" s="1" t="s">
        <v>129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9.5" hidden="false" customHeight="true" outlineLevel="0" collapsed="false">
      <c r="B3" s="2" t="s">
        <v>130</v>
      </c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B4" s="24" t="s">
        <v>48</v>
      </c>
      <c r="G4" s="25" t="s">
        <v>131</v>
      </c>
    </row>
    <row r="5" customFormat="false" ht="27.75" hidden="false" customHeight="true" outlineLevel="0" collapsed="false">
      <c r="B5" s="6" t="s">
        <v>132</v>
      </c>
      <c r="C5" s="6"/>
      <c r="D5" s="6"/>
      <c r="E5" s="6"/>
      <c r="F5" s="6"/>
      <c r="G5" s="6"/>
      <c r="H5" s="6"/>
      <c r="I5" s="6"/>
      <c r="J5" s="6"/>
      <c r="K5" s="6"/>
    </row>
    <row r="7" customFormat="false" ht="30" hidden="false" customHeight="true" outlineLevel="0" collapsed="false">
      <c r="B7" s="13" t="s">
        <v>113</v>
      </c>
      <c r="C7" s="13" t="s">
        <v>133</v>
      </c>
      <c r="D7" s="13" t="s">
        <v>134</v>
      </c>
      <c r="E7" s="13" t="s">
        <v>135</v>
      </c>
      <c r="F7" s="13" t="s">
        <v>136</v>
      </c>
      <c r="G7" s="13" t="s">
        <v>137</v>
      </c>
      <c r="H7" s="13" t="s">
        <v>103</v>
      </c>
      <c r="J7" s="13" t="s">
        <v>138</v>
      </c>
      <c r="K7" s="13" t="s">
        <v>139</v>
      </c>
    </row>
    <row r="8" customFormat="false" ht="15" hidden="false" customHeight="false" outlineLevel="0" collapsed="false">
      <c r="B8" s="45" t="n">
        <v>46093</v>
      </c>
      <c r="C8" s="26" t="s">
        <v>140</v>
      </c>
      <c r="D8" s="26" t="s">
        <v>141</v>
      </c>
      <c r="E8" s="31" t="s">
        <v>142</v>
      </c>
      <c r="F8" s="40" t="n">
        <v>480</v>
      </c>
      <c r="G8" s="26" t="s">
        <v>143</v>
      </c>
      <c r="H8" s="42" t="str">
        <f aca="false">IF(G8="","",HYPERLINK(G8,"Abrir ↗"))</f>
        <v>Abrir ↗</v>
      </c>
      <c r="J8" s="14" t="str">
        <f aca="false">LISTAS!$D$2</f>
        <v>Saúde</v>
      </c>
      <c r="K8" s="15" t="n">
        <f aca="false">SUMIF($C$8:$C$107,J8,$F$8:$F$107)</f>
        <v>480</v>
      </c>
    </row>
    <row r="9" customFormat="false" ht="15" hidden="false" customHeight="false" outlineLevel="0" collapsed="false">
      <c r="B9" s="45"/>
      <c r="C9" s="26"/>
      <c r="D9" s="26"/>
      <c r="E9" s="31"/>
      <c r="F9" s="40"/>
      <c r="G9" s="26"/>
      <c r="H9" s="42" t="str">
        <f aca="false">IF(G9="","",HYPERLINK(G9,"Abrir ↗"))</f>
        <v/>
      </c>
      <c r="J9" s="14" t="str">
        <f aca="false">LISTAS!$D$3</f>
        <v>Educação</v>
      </c>
      <c r="K9" s="15" t="n">
        <f aca="false">SUMIF($C$8:$C$107,J9,$F$8:$F$107)</f>
        <v>0</v>
      </c>
    </row>
    <row r="10" customFormat="false" ht="15" hidden="false" customHeight="false" outlineLevel="0" collapsed="false">
      <c r="B10" s="45"/>
      <c r="C10" s="26"/>
      <c r="D10" s="26"/>
      <c r="E10" s="31"/>
      <c r="F10" s="40"/>
      <c r="G10" s="26"/>
      <c r="H10" s="42" t="str">
        <f aca="false">IF(G10="","",HYPERLINK(G10,"Abrir ↗"))</f>
        <v/>
      </c>
      <c r="J10" s="14" t="str">
        <f aca="false">LISTAS!$D$4</f>
        <v>Previdência privada (PGBL)</v>
      </c>
      <c r="K10" s="15" t="n">
        <f aca="false">SUMIF($C$8:$C$107,J10,$F$8:$F$107)</f>
        <v>0</v>
      </c>
    </row>
    <row r="11" customFormat="false" ht="15" hidden="false" customHeight="false" outlineLevel="0" collapsed="false">
      <c r="B11" s="45"/>
      <c r="C11" s="26"/>
      <c r="D11" s="26"/>
      <c r="E11" s="31"/>
      <c r="F11" s="40"/>
      <c r="G11" s="26"/>
      <c r="H11" s="42" t="str">
        <f aca="false">IF(G11="","",HYPERLINK(G11,"Abrir ↗"))</f>
        <v/>
      </c>
      <c r="J11" s="14" t="str">
        <f aca="false">LISTAS!$D$5</f>
        <v>Pensão alimentícia</v>
      </c>
      <c r="K11" s="15" t="n">
        <f aca="false">SUMIF($C$8:$C$107,J11,$F$8:$F$107)</f>
        <v>0</v>
      </c>
    </row>
    <row r="12" customFormat="false" ht="15" hidden="false" customHeight="false" outlineLevel="0" collapsed="false">
      <c r="B12" s="45"/>
      <c r="C12" s="26"/>
      <c r="D12" s="26"/>
      <c r="E12" s="31"/>
      <c r="F12" s="40"/>
      <c r="G12" s="26"/>
      <c r="H12" s="42" t="str">
        <f aca="false">IF(G12="","",HYPERLINK(G12,"Abrir ↗"))</f>
        <v/>
      </c>
      <c r="J12" s="14" t="str">
        <f aca="false">LISTAS!$D$6</f>
        <v>Doações incentivadas</v>
      </c>
      <c r="K12" s="15" t="n">
        <f aca="false">SUMIF($C$8:$C$107,J12,$F$8:$F$107)</f>
        <v>0</v>
      </c>
    </row>
    <row r="13" customFormat="false" ht="15" hidden="false" customHeight="false" outlineLevel="0" collapsed="false">
      <c r="B13" s="45"/>
      <c r="C13" s="26"/>
      <c r="D13" s="26"/>
      <c r="E13" s="31"/>
      <c r="F13" s="40"/>
      <c r="G13" s="26"/>
      <c r="H13" s="42" t="str">
        <f aca="false">IF(G13="","",HYPERLINK(G13,"Abrir ↗"))</f>
        <v/>
      </c>
      <c r="J13" s="14" t="str">
        <f aca="false">LISTAS!$D$7</f>
        <v>Outras</v>
      </c>
      <c r="K13" s="15" t="n">
        <f aca="false">SUMIF($C$8:$C$107,J13,$F$8:$F$107)</f>
        <v>0</v>
      </c>
    </row>
    <row r="14" customFormat="false" ht="15" hidden="false" customHeight="false" outlineLevel="0" collapsed="false">
      <c r="B14" s="45"/>
      <c r="C14" s="26"/>
      <c r="D14" s="26"/>
      <c r="E14" s="31"/>
      <c r="F14" s="40"/>
      <c r="G14" s="26"/>
      <c r="H14" s="42" t="str">
        <f aca="false">IF(G14="","",HYPERLINK(G14,"Abrir ↗"))</f>
        <v/>
      </c>
      <c r="J14" s="17" t="s">
        <v>35</v>
      </c>
      <c r="K14" s="18" t="n">
        <f aca="false">SUM(F8:F107)</f>
        <v>480</v>
      </c>
    </row>
    <row r="15" customFormat="false" ht="15" hidden="false" customHeight="false" outlineLevel="0" collapsed="false">
      <c r="B15" s="45"/>
      <c r="C15" s="26"/>
      <c r="D15" s="26"/>
      <c r="E15" s="31"/>
      <c r="F15" s="40"/>
      <c r="G15" s="26"/>
      <c r="H15" s="42" t="str">
        <f aca="false">IF(G15="","",HYPERLINK(G15,"Abrir ↗"))</f>
        <v/>
      </c>
    </row>
    <row r="16" customFormat="false" ht="15" hidden="false" customHeight="false" outlineLevel="0" collapsed="false">
      <c r="B16" s="45"/>
      <c r="C16" s="26"/>
      <c r="D16" s="26"/>
      <c r="E16" s="31"/>
      <c r="F16" s="40"/>
      <c r="G16" s="26"/>
      <c r="H16" s="42" t="str">
        <f aca="false">IF(G16="","",HYPERLINK(G16,"Abrir ↗"))</f>
        <v/>
      </c>
      <c r="J16" s="46" t="s">
        <v>126</v>
      </c>
      <c r="K16" s="47" t="n">
        <f aca="false">COUNT(B8:B107)</f>
        <v>1</v>
      </c>
    </row>
    <row r="17" customFormat="false" ht="15" hidden="false" customHeight="false" outlineLevel="0" collapsed="false">
      <c r="B17" s="45"/>
      <c r="C17" s="26"/>
      <c r="D17" s="26"/>
      <c r="E17" s="31"/>
      <c r="F17" s="40"/>
      <c r="G17" s="26"/>
      <c r="H17" s="42" t="str">
        <f aca="false">IF(G17="","",HYPERLINK(G17,"Abrir ↗"))</f>
        <v/>
      </c>
    </row>
    <row r="18" customFormat="false" ht="15" hidden="false" customHeight="false" outlineLevel="0" collapsed="false">
      <c r="B18" s="45"/>
      <c r="C18" s="26"/>
      <c r="D18" s="26"/>
      <c r="E18" s="31"/>
      <c r="F18" s="40"/>
      <c r="G18" s="26"/>
      <c r="H18" s="42" t="str">
        <f aca="false">IF(G18="","",HYPERLINK(G18,"Abrir ↗"))</f>
        <v/>
      </c>
    </row>
    <row r="19" customFormat="false" ht="15" hidden="false" customHeight="false" outlineLevel="0" collapsed="false">
      <c r="B19" s="45"/>
      <c r="C19" s="26"/>
      <c r="D19" s="26"/>
      <c r="E19" s="31"/>
      <c r="F19" s="40"/>
      <c r="G19" s="26"/>
      <c r="H19" s="42" t="str">
        <f aca="false">IF(G19="","",HYPERLINK(G19,"Abrir ↗"))</f>
        <v/>
      </c>
    </row>
    <row r="20" customFormat="false" ht="15" hidden="false" customHeight="false" outlineLevel="0" collapsed="false">
      <c r="B20" s="45"/>
      <c r="C20" s="26"/>
      <c r="D20" s="26"/>
      <c r="E20" s="31"/>
      <c r="F20" s="40"/>
      <c r="G20" s="26"/>
      <c r="H20" s="42" t="str">
        <f aca="false">IF(G20="","",HYPERLINK(G20,"Abrir ↗"))</f>
        <v/>
      </c>
    </row>
    <row r="21" customFormat="false" ht="15" hidden="false" customHeight="false" outlineLevel="0" collapsed="false">
      <c r="B21" s="45"/>
      <c r="C21" s="26"/>
      <c r="D21" s="26"/>
      <c r="E21" s="31"/>
      <c r="F21" s="40"/>
      <c r="G21" s="26"/>
      <c r="H21" s="42" t="str">
        <f aca="false">IF(G21="","",HYPERLINK(G21,"Abrir ↗"))</f>
        <v/>
      </c>
    </row>
    <row r="22" customFormat="false" ht="15" hidden="false" customHeight="false" outlineLevel="0" collapsed="false">
      <c r="B22" s="45"/>
      <c r="C22" s="26"/>
      <c r="D22" s="26"/>
      <c r="E22" s="31"/>
      <c r="F22" s="40"/>
      <c r="G22" s="26"/>
      <c r="H22" s="42" t="str">
        <f aca="false">IF(G22="","",HYPERLINK(G22,"Abrir ↗"))</f>
        <v/>
      </c>
    </row>
    <row r="23" customFormat="false" ht="15" hidden="false" customHeight="false" outlineLevel="0" collapsed="false">
      <c r="B23" s="45"/>
      <c r="C23" s="26"/>
      <c r="D23" s="26"/>
      <c r="E23" s="31"/>
      <c r="F23" s="40"/>
      <c r="G23" s="26"/>
      <c r="H23" s="42" t="str">
        <f aca="false">IF(G23="","",HYPERLINK(G23,"Abrir ↗"))</f>
        <v/>
      </c>
    </row>
    <row r="24" customFormat="false" ht="15" hidden="false" customHeight="false" outlineLevel="0" collapsed="false">
      <c r="B24" s="45"/>
      <c r="C24" s="26"/>
      <c r="D24" s="26"/>
      <c r="E24" s="31"/>
      <c r="F24" s="40"/>
      <c r="G24" s="26"/>
      <c r="H24" s="42" t="str">
        <f aca="false">IF(G24="","",HYPERLINK(G24,"Abrir ↗"))</f>
        <v/>
      </c>
    </row>
    <row r="25" customFormat="false" ht="15" hidden="false" customHeight="false" outlineLevel="0" collapsed="false">
      <c r="B25" s="45"/>
      <c r="C25" s="26"/>
      <c r="D25" s="26"/>
      <c r="E25" s="31"/>
      <c r="F25" s="40"/>
      <c r="G25" s="26"/>
      <c r="H25" s="42" t="str">
        <f aca="false">IF(G25="","",HYPERLINK(G25,"Abrir ↗"))</f>
        <v/>
      </c>
    </row>
    <row r="26" customFormat="false" ht="15" hidden="false" customHeight="false" outlineLevel="0" collapsed="false">
      <c r="B26" s="45"/>
      <c r="C26" s="26"/>
      <c r="D26" s="26"/>
      <c r="E26" s="31"/>
      <c r="F26" s="40"/>
      <c r="G26" s="26"/>
      <c r="H26" s="42" t="str">
        <f aca="false">IF(G26="","",HYPERLINK(G26,"Abrir ↗"))</f>
        <v/>
      </c>
    </row>
    <row r="27" customFormat="false" ht="15" hidden="false" customHeight="false" outlineLevel="0" collapsed="false">
      <c r="B27" s="45"/>
      <c r="C27" s="26"/>
      <c r="D27" s="26"/>
      <c r="E27" s="31"/>
      <c r="F27" s="40"/>
      <c r="G27" s="26"/>
      <c r="H27" s="42" t="str">
        <f aca="false">IF(G27="","",HYPERLINK(G27,"Abrir ↗"))</f>
        <v/>
      </c>
    </row>
    <row r="28" customFormat="false" ht="15" hidden="false" customHeight="false" outlineLevel="0" collapsed="false">
      <c r="B28" s="45"/>
      <c r="C28" s="26"/>
      <c r="D28" s="26"/>
      <c r="E28" s="31"/>
      <c r="F28" s="40"/>
      <c r="G28" s="26"/>
      <c r="H28" s="42" t="str">
        <f aca="false">IF(G28="","",HYPERLINK(G28,"Abrir ↗"))</f>
        <v/>
      </c>
    </row>
    <row r="29" customFormat="false" ht="15" hidden="false" customHeight="false" outlineLevel="0" collapsed="false">
      <c r="B29" s="45"/>
      <c r="C29" s="26"/>
      <c r="D29" s="26"/>
      <c r="E29" s="31"/>
      <c r="F29" s="40"/>
      <c r="G29" s="26"/>
      <c r="H29" s="42" t="str">
        <f aca="false">IF(G29="","",HYPERLINK(G29,"Abrir ↗"))</f>
        <v/>
      </c>
    </row>
    <row r="30" customFormat="false" ht="15" hidden="false" customHeight="false" outlineLevel="0" collapsed="false">
      <c r="B30" s="45"/>
      <c r="C30" s="26"/>
      <c r="D30" s="26"/>
      <c r="E30" s="31"/>
      <c r="F30" s="40"/>
      <c r="G30" s="26"/>
      <c r="H30" s="42" t="str">
        <f aca="false">IF(G30="","",HYPERLINK(G30,"Abrir ↗"))</f>
        <v/>
      </c>
    </row>
    <row r="31" customFormat="false" ht="15" hidden="false" customHeight="false" outlineLevel="0" collapsed="false">
      <c r="B31" s="45"/>
      <c r="C31" s="26"/>
      <c r="D31" s="26"/>
      <c r="E31" s="31"/>
      <c r="F31" s="40"/>
      <c r="G31" s="26"/>
      <c r="H31" s="42" t="str">
        <f aca="false">IF(G31="","",HYPERLINK(G31,"Abrir ↗"))</f>
        <v/>
      </c>
    </row>
    <row r="32" customFormat="false" ht="15" hidden="false" customHeight="false" outlineLevel="0" collapsed="false">
      <c r="B32" s="45"/>
      <c r="C32" s="26"/>
      <c r="D32" s="26"/>
      <c r="E32" s="31"/>
      <c r="F32" s="40"/>
      <c r="G32" s="26"/>
      <c r="H32" s="42" t="str">
        <f aca="false">IF(G32="","",HYPERLINK(G32,"Abrir ↗"))</f>
        <v/>
      </c>
    </row>
    <row r="33" customFormat="false" ht="15" hidden="false" customHeight="false" outlineLevel="0" collapsed="false">
      <c r="B33" s="45"/>
      <c r="C33" s="26"/>
      <c r="D33" s="26"/>
      <c r="E33" s="31"/>
      <c r="F33" s="40"/>
      <c r="G33" s="26"/>
      <c r="H33" s="42" t="str">
        <f aca="false">IF(G33="","",HYPERLINK(G33,"Abrir ↗"))</f>
        <v/>
      </c>
    </row>
    <row r="34" customFormat="false" ht="15" hidden="false" customHeight="false" outlineLevel="0" collapsed="false">
      <c r="B34" s="45"/>
      <c r="C34" s="26"/>
      <c r="D34" s="26"/>
      <c r="E34" s="31"/>
      <c r="F34" s="40"/>
      <c r="G34" s="26"/>
      <c r="H34" s="42" t="str">
        <f aca="false">IF(G34="","",HYPERLINK(G34,"Abrir ↗"))</f>
        <v/>
      </c>
    </row>
    <row r="35" customFormat="false" ht="15" hidden="false" customHeight="false" outlineLevel="0" collapsed="false">
      <c r="B35" s="45"/>
      <c r="C35" s="26"/>
      <c r="D35" s="26"/>
      <c r="E35" s="31"/>
      <c r="F35" s="40"/>
      <c r="G35" s="26"/>
      <c r="H35" s="42" t="str">
        <f aca="false">IF(G35="","",HYPERLINK(G35,"Abrir ↗"))</f>
        <v/>
      </c>
    </row>
    <row r="36" customFormat="false" ht="15" hidden="false" customHeight="false" outlineLevel="0" collapsed="false">
      <c r="B36" s="45"/>
      <c r="C36" s="26"/>
      <c r="D36" s="26"/>
      <c r="E36" s="31"/>
      <c r="F36" s="40"/>
      <c r="G36" s="26"/>
      <c r="H36" s="42" t="str">
        <f aca="false">IF(G36="","",HYPERLINK(G36,"Abrir ↗"))</f>
        <v/>
      </c>
    </row>
    <row r="37" customFormat="false" ht="15" hidden="false" customHeight="false" outlineLevel="0" collapsed="false">
      <c r="B37" s="45"/>
      <c r="C37" s="26"/>
      <c r="D37" s="26"/>
      <c r="E37" s="31"/>
      <c r="F37" s="40"/>
      <c r="G37" s="26"/>
      <c r="H37" s="42" t="str">
        <f aca="false">IF(G37="","",HYPERLINK(G37,"Abrir ↗"))</f>
        <v/>
      </c>
    </row>
    <row r="38" customFormat="false" ht="15" hidden="false" customHeight="false" outlineLevel="0" collapsed="false">
      <c r="B38" s="45"/>
      <c r="C38" s="26"/>
      <c r="D38" s="26"/>
      <c r="E38" s="31"/>
      <c r="F38" s="40"/>
      <c r="G38" s="26"/>
      <c r="H38" s="42" t="str">
        <f aca="false">IF(G38="","",HYPERLINK(G38,"Abrir ↗"))</f>
        <v/>
      </c>
    </row>
    <row r="39" customFormat="false" ht="15" hidden="false" customHeight="false" outlineLevel="0" collapsed="false">
      <c r="B39" s="45"/>
      <c r="C39" s="26"/>
      <c r="D39" s="26"/>
      <c r="E39" s="31"/>
      <c r="F39" s="40"/>
      <c r="G39" s="26"/>
      <c r="H39" s="42" t="str">
        <f aca="false">IF(G39="","",HYPERLINK(G39,"Abrir ↗"))</f>
        <v/>
      </c>
    </row>
    <row r="40" customFormat="false" ht="15" hidden="false" customHeight="false" outlineLevel="0" collapsed="false">
      <c r="B40" s="45"/>
      <c r="C40" s="26"/>
      <c r="D40" s="26"/>
      <c r="E40" s="31"/>
      <c r="F40" s="40"/>
      <c r="G40" s="26"/>
      <c r="H40" s="42" t="str">
        <f aca="false">IF(G40="","",HYPERLINK(G40,"Abrir ↗"))</f>
        <v/>
      </c>
    </row>
    <row r="41" customFormat="false" ht="15" hidden="false" customHeight="false" outlineLevel="0" collapsed="false">
      <c r="B41" s="45"/>
      <c r="C41" s="26"/>
      <c r="D41" s="26"/>
      <c r="E41" s="31"/>
      <c r="F41" s="40"/>
      <c r="G41" s="26"/>
      <c r="H41" s="42" t="str">
        <f aca="false">IF(G41="","",HYPERLINK(G41,"Abrir ↗"))</f>
        <v/>
      </c>
    </row>
    <row r="42" customFormat="false" ht="15" hidden="false" customHeight="false" outlineLevel="0" collapsed="false">
      <c r="B42" s="45"/>
      <c r="C42" s="26"/>
      <c r="D42" s="26"/>
      <c r="E42" s="31"/>
      <c r="F42" s="40"/>
      <c r="G42" s="26"/>
      <c r="H42" s="42" t="str">
        <f aca="false">IF(G42="","",HYPERLINK(G42,"Abrir ↗"))</f>
        <v/>
      </c>
    </row>
    <row r="43" customFormat="false" ht="15" hidden="false" customHeight="false" outlineLevel="0" collapsed="false">
      <c r="B43" s="45"/>
      <c r="C43" s="26"/>
      <c r="D43" s="26"/>
      <c r="E43" s="31"/>
      <c r="F43" s="40"/>
      <c r="G43" s="26"/>
      <c r="H43" s="42" t="str">
        <f aca="false">IF(G43="","",HYPERLINK(G43,"Abrir ↗"))</f>
        <v/>
      </c>
    </row>
    <row r="44" customFormat="false" ht="15" hidden="false" customHeight="false" outlineLevel="0" collapsed="false">
      <c r="B44" s="45"/>
      <c r="C44" s="26"/>
      <c r="D44" s="26"/>
      <c r="E44" s="31"/>
      <c r="F44" s="40"/>
      <c r="G44" s="26"/>
      <c r="H44" s="42" t="str">
        <f aca="false">IF(G44="","",HYPERLINK(G44,"Abrir ↗"))</f>
        <v/>
      </c>
    </row>
    <row r="45" customFormat="false" ht="15" hidden="false" customHeight="false" outlineLevel="0" collapsed="false">
      <c r="B45" s="45"/>
      <c r="C45" s="26"/>
      <c r="D45" s="26"/>
      <c r="E45" s="31"/>
      <c r="F45" s="40"/>
      <c r="G45" s="26"/>
      <c r="H45" s="42" t="str">
        <f aca="false">IF(G45="","",HYPERLINK(G45,"Abrir ↗"))</f>
        <v/>
      </c>
    </row>
    <row r="46" customFormat="false" ht="15" hidden="false" customHeight="false" outlineLevel="0" collapsed="false">
      <c r="B46" s="45"/>
      <c r="C46" s="26"/>
      <c r="D46" s="26"/>
      <c r="E46" s="31"/>
      <c r="F46" s="40"/>
      <c r="G46" s="26"/>
      <c r="H46" s="42" t="str">
        <f aca="false">IF(G46="","",HYPERLINK(G46,"Abrir ↗"))</f>
        <v/>
      </c>
    </row>
    <row r="47" customFormat="false" ht="15" hidden="false" customHeight="false" outlineLevel="0" collapsed="false">
      <c r="B47" s="45"/>
      <c r="C47" s="26"/>
      <c r="D47" s="26"/>
      <c r="E47" s="31"/>
      <c r="F47" s="40"/>
      <c r="G47" s="26"/>
      <c r="H47" s="42" t="str">
        <f aca="false">IF(G47="","",HYPERLINK(G47,"Abrir ↗"))</f>
        <v/>
      </c>
    </row>
    <row r="48" customFormat="false" ht="15" hidden="false" customHeight="false" outlineLevel="0" collapsed="false">
      <c r="B48" s="45"/>
      <c r="C48" s="26"/>
      <c r="D48" s="26"/>
      <c r="E48" s="31"/>
      <c r="F48" s="40"/>
      <c r="G48" s="26"/>
      <c r="H48" s="42" t="str">
        <f aca="false">IF(G48="","",HYPERLINK(G48,"Abrir ↗"))</f>
        <v/>
      </c>
    </row>
    <row r="49" customFormat="false" ht="15" hidden="false" customHeight="false" outlineLevel="0" collapsed="false">
      <c r="B49" s="45"/>
      <c r="C49" s="26"/>
      <c r="D49" s="26"/>
      <c r="E49" s="31"/>
      <c r="F49" s="40"/>
      <c r="G49" s="26"/>
      <c r="H49" s="42" t="str">
        <f aca="false">IF(G49="","",HYPERLINK(G49,"Abrir ↗"))</f>
        <v/>
      </c>
    </row>
    <row r="50" customFormat="false" ht="15" hidden="false" customHeight="false" outlineLevel="0" collapsed="false">
      <c r="B50" s="45"/>
      <c r="C50" s="26"/>
      <c r="D50" s="26"/>
      <c r="E50" s="31"/>
      <c r="F50" s="40"/>
      <c r="G50" s="26"/>
      <c r="H50" s="42" t="str">
        <f aca="false">IF(G50="","",HYPERLINK(G50,"Abrir ↗"))</f>
        <v/>
      </c>
    </row>
    <row r="51" customFormat="false" ht="15" hidden="false" customHeight="false" outlineLevel="0" collapsed="false">
      <c r="B51" s="45"/>
      <c r="C51" s="26"/>
      <c r="D51" s="26"/>
      <c r="E51" s="31"/>
      <c r="F51" s="40"/>
      <c r="G51" s="26"/>
      <c r="H51" s="42" t="str">
        <f aca="false">IF(G51="","",HYPERLINK(G51,"Abrir ↗"))</f>
        <v/>
      </c>
    </row>
    <row r="52" customFormat="false" ht="15" hidden="false" customHeight="false" outlineLevel="0" collapsed="false">
      <c r="B52" s="45"/>
      <c r="C52" s="26"/>
      <c r="D52" s="26"/>
      <c r="E52" s="31"/>
      <c r="F52" s="40"/>
      <c r="G52" s="26"/>
      <c r="H52" s="42" t="str">
        <f aca="false">IF(G52="","",HYPERLINK(G52,"Abrir ↗"))</f>
        <v/>
      </c>
    </row>
    <row r="53" customFormat="false" ht="15" hidden="false" customHeight="false" outlineLevel="0" collapsed="false">
      <c r="B53" s="45"/>
      <c r="C53" s="26"/>
      <c r="D53" s="26"/>
      <c r="E53" s="31"/>
      <c r="F53" s="40"/>
      <c r="G53" s="26"/>
      <c r="H53" s="42" t="str">
        <f aca="false">IF(G53="","",HYPERLINK(G53,"Abrir ↗"))</f>
        <v/>
      </c>
    </row>
    <row r="54" customFormat="false" ht="15" hidden="false" customHeight="false" outlineLevel="0" collapsed="false">
      <c r="B54" s="45"/>
      <c r="C54" s="26"/>
      <c r="D54" s="26"/>
      <c r="E54" s="31"/>
      <c r="F54" s="40"/>
      <c r="G54" s="26"/>
      <c r="H54" s="42" t="str">
        <f aca="false">IF(G54="","",HYPERLINK(G54,"Abrir ↗"))</f>
        <v/>
      </c>
    </row>
    <row r="55" customFormat="false" ht="15" hidden="false" customHeight="false" outlineLevel="0" collapsed="false">
      <c r="B55" s="45"/>
      <c r="C55" s="26"/>
      <c r="D55" s="26"/>
      <c r="E55" s="31"/>
      <c r="F55" s="40"/>
      <c r="G55" s="26"/>
      <c r="H55" s="42" t="str">
        <f aca="false">IF(G55="","",HYPERLINK(G55,"Abrir ↗"))</f>
        <v/>
      </c>
    </row>
    <row r="56" customFormat="false" ht="15" hidden="false" customHeight="false" outlineLevel="0" collapsed="false">
      <c r="B56" s="45"/>
      <c r="C56" s="26"/>
      <c r="D56" s="26"/>
      <c r="E56" s="31"/>
      <c r="F56" s="40"/>
      <c r="G56" s="26"/>
      <c r="H56" s="42" t="str">
        <f aca="false">IF(G56="","",HYPERLINK(G56,"Abrir ↗"))</f>
        <v/>
      </c>
    </row>
    <row r="57" customFormat="false" ht="15" hidden="false" customHeight="false" outlineLevel="0" collapsed="false">
      <c r="B57" s="45"/>
      <c r="C57" s="26"/>
      <c r="D57" s="26"/>
      <c r="E57" s="31"/>
      <c r="F57" s="40"/>
      <c r="G57" s="26"/>
      <c r="H57" s="42" t="str">
        <f aca="false">IF(G57="","",HYPERLINK(G57,"Abrir ↗"))</f>
        <v/>
      </c>
    </row>
    <row r="58" customFormat="false" ht="15" hidden="false" customHeight="false" outlineLevel="0" collapsed="false">
      <c r="B58" s="45"/>
      <c r="C58" s="26"/>
      <c r="D58" s="26"/>
      <c r="E58" s="31"/>
      <c r="F58" s="40"/>
      <c r="G58" s="26"/>
      <c r="H58" s="42" t="str">
        <f aca="false">IF(G58="","",HYPERLINK(G58,"Abrir ↗"))</f>
        <v/>
      </c>
    </row>
    <row r="59" customFormat="false" ht="15" hidden="false" customHeight="false" outlineLevel="0" collapsed="false">
      <c r="B59" s="45"/>
      <c r="C59" s="26"/>
      <c r="D59" s="26"/>
      <c r="E59" s="31"/>
      <c r="F59" s="40"/>
      <c r="G59" s="26"/>
      <c r="H59" s="42" t="str">
        <f aca="false">IF(G59="","",HYPERLINK(G59,"Abrir ↗"))</f>
        <v/>
      </c>
    </row>
    <row r="60" customFormat="false" ht="15" hidden="false" customHeight="false" outlineLevel="0" collapsed="false">
      <c r="B60" s="45"/>
      <c r="C60" s="26"/>
      <c r="D60" s="26"/>
      <c r="E60" s="31"/>
      <c r="F60" s="40"/>
      <c r="G60" s="26"/>
      <c r="H60" s="42" t="str">
        <f aca="false">IF(G60="","",HYPERLINK(G60,"Abrir ↗"))</f>
        <v/>
      </c>
    </row>
    <row r="61" customFormat="false" ht="15" hidden="false" customHeight="false" outlineLevel="0" collapsed="false">
      <c r="B61" s="45"/>
      <c r="C61" s="26"/>
      <c r="D61" s="26"/>
      <c r="E61" s="31"/>
      <c r="F61" s="40"/>
      <c r="G61" s="26"/>
      <c r="H61" s="42" t="str">
        <f aca="false">IF(G61="","",HYPERLINK(G61,"Abrir ↗"))</f>
        <v/>
      </c>
    </row>
    <row r="62" customFormat="false" ht="15" hidden="false" customHeight="false" outlineLevel="0" collapsed="false">
      <c r="B62" s="45"/>
      <c r="C62" s="26"/>
      <c r="D62" s="26"/>
      <c r="E62" s="31"/>
      <c r="F62" s="40"/>
      <c r="G62" s="26"/>
      <c r="H62" s="42" t="str">
        <f aca="false">IF(G62="","",HYPERLINK(G62,"Abrir ↗"))</f>
        <v/>
      </c>
    </row>
    <row r="63" customFormat="false" ht="15" hidden="false" customHeight="false" outlineLevel="0" collapsed="false">
      <c r="B63" s="45"/>
      <c r="C63" s="26"/>
      <c r="D63" s="26"/>
      <c r="E63" s="31"/>
      <c r="F63" s="40"/>
      <c r="G63" s="26"/>
      <c r="H63" s="42" t="str">
        <f aca="false">IF(G63="","",HYPERLINK(G63,"Abrir ↗"))</f>
        <v/>
      </c>
    </row>
    <row r="64" customFormat="false" ht="15" hidden="false" customHeight="false" outlineLevel="0" collapsed="false">
      <c r="B64" s="45"/>
      <c r="C64" s="26"/>
      <c r="D64" s="26"/>
      <c r="E64" s="31"/>
      <c r="F64" s="40"/>
      <c r="G64" s="26"/>
      <c r="H64" s="42" t="str">
        <f aca="false">IF(G64="","",HYPERLINK(G64,"Abrir ↗"))</f>
        <v/>
      </c>
    </row>
    <row r="65" customFormat="false" ht="15" hidden="false" customHeight="false" outlineLevel="0" collapsed="false">
      <c r="B65" s="45"/>
      <c r="C65" s="26"/>
      <c r="D65" s="26"/>
      <c r="E65" s="31"/>
      <c r="F65" s="40"/>
      <c r="G65" s="26"/>
      <c r="H65" s="42" t="str">
        <f aca="false">IF(G65="","",HYPERLINK(G65,"Abrir ↗"))</f>
        <v/>
      </c>
    </row>
    <row r="66" customFormat="false" ht="15" hidden="false" customHeight="false" outlineLevel="0" collapsed="false">
      <c r="B66" s="45"/>
      <c r="C66" s="26"/>
      <c r="D66" s="26"/>
      <c r="E66" s="31"/>
      <c r="F66" s="40"/>
      <c r="G66" s="26"/>
      <c r="H66" s="42" t="str">
        <f aca="false">IF(G66="","",HYPERLINK(G66,"Abrir ↗"))</f>
        <v/>
      </c>
    </row>
    <row r="67" customFormat="false" ht="15" hidden="false" customHeight="false" outlineLevel="0" collapsed="false">
      <c r="B67" s="45"/>
      <c r="C67" s="26"/>
      <c r="D67" s="26"/>
      <c r="E67" s="31"/>
      <c r="F67" s="40"/>
      <c r="G67" s="26"/>
      <c r="H67" s="42" t="str">
        <f aca="false">IF(G67="","",HYPERLINK(G67,"Abrir ↗"))</f>
        <v/>
      </c>
    </row>
    <row r="68" customFormat="false" ht="15" hidden="false" customHeight="false" outlineLevel="0" collapsed="false">
      <c r="B68" s="45"/>
      <c r="C68" s="26"/>
      <c r="D68" s="26"/>
      <c r="E68" s="31"/>
      <c r="F68" s="40"/>
      <c r="G68" s="26"/>
      <c r="H68" s="42" t="str">
        <f aca="false">IF(G68="","",HYPERLINK(G68,"Abrir ↗"))</f>
        <v/>
      </c>
    </row>
    <row r="69" customFormat="false" ht="15" hidden="false" customHeight="false" outlineLevel="0" collapsed="false">
      <c r="B69" s="45"/>
      <c r="C69" s="26"/>
      <c r="D69" s="26"/>
      <c r="E69" s="31"/>
      <c r="F69" s="40"/>
      <c r="G69" s="26"/>
      <c r="H69" s="42" t="str">
        <f aca="false">IF(G69="","",HYPERLINK(G69,"Abrir ↗"))</f>
        <v/>
      </c>
    </row>
    <row r="70" customFormat="false" ht="15" hidden="false" customHeight="false" outlineLevel="0" collapsed="false">
      <c r="B70" s="45"/>
      <c r="C70" s="26"/>
      <c r="D70" s="26"/>
      <c r="E70" s="31"/>
      <c r="F70" s="40"/>
      <c r="G70" s="26"/>
      <c r="H70" s="42" t="str">
        <f aca="false">IF(G70="","",HYPERLINK(G70,"Abrir ↗"))</f>
        <v/>
      </c>
    </row>
    <row r="71" customFormat="false" ht="15" hidden="false" customHeight="false" outlineLevel="0" collapsed="false">
      <c r="B71" s="45"/>
      <c r="C71" s="26"/>
      <c r="D71" s="26"/>
      <c r="E71" s="31"/>
      <c r="F71" s="40"/>
      <c r="G71" s="26"/>
      <c r="H71" s="42" t="str">
        <f aca="false">IF(G71="","",HYPERLINK(G71,"Abrir ↗"))</f>
        <v/>
      </c>
    </row>
    <row r="72" customFormat="false" ht="15" hidden="false" customHeight="false" outlineLevel="0" collapsed="false">
      <c r="B72" s="45"/>
      <c r="C72" s="26"/>
      <c r="D72" s="26"/>
      <c r="E72" s="31"/>
      <c r="F72" s="40"/>
      <c r="G72" s="26"/>
      <c r="H72" s="42" t="str">
        <f aca="false">IF(G72="","",HYPERLINK(G72,"Abrir ↗"))</f>
        <v/>
      </c>
    </row>
    <row r="73" customFormat="false" ht="15" hidden="false" customHeight="false" outlineLevel="0" collapsed="false">
      <c r="B73" s="45"/>
      <c r="C73" s="26"/>
      <c r="D73" s="26"/>
      <c r="E73" s="31"/>
      <c r="F73" s="40"/>
      <c r="G73" s="26"/>
      <c r="H73" s="42" t="str">
        <f aca="false">IF(G73="","",HYPERLINK(G73,"Abrir ↗"))</f>
        <v/>
      </c>
    </row>
    <row r="74" customFormat="false" ht="15" hidden="false" customHeight="false" outlineLevel="0" collapsed="false">
      <c r="B74" s="45"/>
      <c r="C74" s="26"/>
      <c r="D74" s="26"/>
      <c r="E74" s="31"/>
      <c r="F74" s="40"/>
      <c r="G74" s="26"/>
      <c r="H74" s="42" t="str">
        <f aca="false">IF(G74="","",HYPERLINK(G74,"Abrir ↗"))</f>
        <v/>
      </c>
    </row>
    <row r="75" customFormat="false" ht="15" hidden="false" customHeight="false" outlineLevel="0" collapsed="false">
      <c r="B75" s="45"/>
      <c r="C75" s="26"/>
      <c r="D75" s="26"/>
      <c r="E75" s="31"/>
      <c r="F75" s="40"/>
      <c r="G75" s="26"/>
      <c r="H75" s="42" t="str">
        <f aca="false">IF(G75="","",HYPERLINK(G75,"Abrir ↗"))</f>
        <v/>
      </c>
    </row>
    <row r="76" customFormat="false" ht="15" hidden="false" customHeight="false" outlineLevel="0" collapsed="false">
      <c r="B76" s="45"/>
      <c r="C76" s="26"/>
      <c r="D76" s="26"/>
      <c r="E76" s="31"/>
      <c r="F76" s="40"/>
      <c r="G76" s="26"/>
      <c r="H76" s="42" t="str">
        <f aca="false">IF(G76="","",HYPERLINK(G76,"Abrir ↗"))</f>
        <v/>
      </c>
    </row>
    <row r="77" customFormat="false" ht="15" hidden="false" customHeight="false" outlineLevel="0" collapsed="false">
      <c r="B77" s="45"/>
      <c r="C77" s="26"/>
      <c r="D77" s="26"/>
      <c r="E77" s="31"/>
      <c r="F77" s="40"/>
      <c r="G77" s="26"/>
      <c r="H77" s="42" t="str">
        <f aca="false">IF(G77="","",HYPERLINK(G77,"Abrir ↗"))</f>
        <v/>
      </c>
    </row>
    <row r="78" customFormat="false" ht="15" hidden="false" customHeight="false" outlineLevel="0" collapsed="false">
      <c r="B78" s="45"/>
      <c r="C78" s="26"/>
      <c r="D78" s="26"/>
      <c r="E78" s="31"/>
      <c r="F78" s="40"/>
      <c r="G78" s="26"/>
      <c r="H78" s="42" t="str">
        <f aca="false">IF(G78="","",HYPERLINK(G78,"Abrir ↗"))</f>
        <v/>
      </c>
    </row>
    <row r="79" customFormat="false" ht="15" hidden="false" customHeight="false" outlineLevel="0" collapsed="false">
      <c r="B79" s="45"/>
      <c r="C79" s="26"/>
      <c r="D79" s="26"/>
      <c r="E79" s="31"/>
      <c r="F79" s="40"/>
      <c r="G79" s="26"/>
      <c r="H79" s="42" t="str">
        <f aca="false">IF(G79="","",HYPERLINK(G79,"Abrir ↗"))</f>
        <v/>
      </c>
    </row>
    <row r="80" customFormat="false" ht="15" hidden="false" customHeight="false" outlineLevel="0" collapsed="false">
      <c r="B80" s="45"/>
      <c r="C80" s="26"/>
      <c r="D80" s="26"/>
      <c r="E80" s="31"/>
      <c r="F80" s="40"/>
      <c r="G80" s="26"/>
      <c r="H80" s="42" t="str">
        <f aca="false">IF(G80="","",HYPERLINK(G80,"Abrir ↗"))</f>
        <v/>
      </c>
    </row>
    <row r="81" customFormat="false" ht="15" hidden="false" customHeight="false" outlineLevel="0" collapsed="false">
      <c r="B81" s="45"/>
      <c r="C81" s="26"/>
      <c r="D81" s="26"/>
      <c r="E81" s="31"/>
      <c r="F81" s="40"/>
      <c r="G81" s="26"/>
      <c r="H81" s="42" t="str">
        <f aca="false">IF(G81="","",HYPERLINK(G81,"Abrir ↗"))</f>
        <v/>
      </c>
    </row>
    <row r="82" customFormat="false" ht="15" hidden="false" customHeight="false" outlineLevel="0" collapsed="false">
      <c r="B82" s="45"/>
      <c r="C82" s="26"/>
      <c r="D82" s="26"/>
      <c r="E82" s="31"/>
      <c r="F82" s="40"/>
      <c r="G82" s="26"/>
      <c r="H82" s="42" t="str">
        <f aca="false">IF(G82="","",HYPERLINK(G82,"Abrir ↗"))</f>
        <v/>
      </c>
    </row>
    <row r="83" customFormat="false" ht="15" hidden="false" customHeight="false" outlineLevel="0" collapsed="false">
      <c r="B83" s="45"/>
      <c r="C83" s="26"/>
      <c r="D83" s="26"/>
      <c r="E83" s="31"/>
      <c r="F83" s="40"/>
      <c r="G83" s="26"/>
      <c r="H83" s="42" t="str">
        <f aca="false">IF(G83="","",HYPERLINK(G83,"Abrir ↗"))</f>
        <v/>
      </c>
    </row>
    <row r="84" customFormat="false" ht="15" hidden="false" customHeight="false" outlineLevel="0" collapsed="false">
      <c r="B84" s="45"/>
      <c r="C84" s="26"/>
      <c r="D84" s="26"/>
      <c r="E84" s="31"/>
      <c r="F84" s="40"/>
      <c r="G84" s="26"/>
      <c r="H84" s="42" t="str">
        <f aca="false">IF(G84="","",HYPERLINK(G84,"Abrir ↗"))</f>
        <v/>
      </c>
    </row>
    <row r="85" customFormat="false" ht="15" hidden="false" customHeight="false" outlineLevel="0" collapsed="false">
      <c r="B85" s="45"/>
      <c r="C85" s="26"/>
      <c r="D85" s="26"/>
      <c r="E85" s="31"/>
      <c r="F85" s="40"/>
      <c r="G85" s="26"/>
      <c r="H85" s="42" t="str">
        <f aca="false">IF(G85="","",HYPERLINK(G85,"Abrir ↗"))</f>
        <v/>
      </c>
    </row>
    <row r="86" customFormat="false" ht="15" hidden="false" customHeight="false" outlineLevel="0" collapsed="false">
      <c r="B86" s="45"/>
      <c r="C86" s="26"/>
      <c r="D86" s="26"/>
      <c r="E86" s="31"/>
      <c r="F86" s="40"/>
      <c r="G86" s="26"/>
      <c r="H86" s="42" t="str">
        <f aca="false">IF(G86="","",HYPERLINK(G86,"Abrir ↗"))</f>
        <v/>
      </c>
    </row>
    <row r="87" customFormat="false" ht="15" hidden="false" customHeight="false" outlineLevel="0" collapsed="false">
      <c r="B87" s="45"/>
      <c r="C87" s="26"/>
      <c r="D87" s="26"/>
      <c r="E87" s="31"/>
      <c r="F87" s="40"/>
      <c r="G87" s="26"/>
      <c r="H87" s="42" t="str">
        <f aca="false">IF(G87="","",HYPERLINK(G87,"Abrir ↗"))</f>
        <v/>
      </c>
    </row>
    <row r="88" customFormat="false" ht="15" hidden="false" customHeight="false" outlineLevel="0" collapsed="false">
      <c r="B88" s="45"/>
      <c r="C88" s="26"/>
      <c r="D88" s="26"/>
      <c r="E88" s="31"/>
      <c r="F88" s="40"/>
      <c r="G88" s="26"/>
      <c r="H88" s="42" t="str">
        <f aca="false">IF(G88="","",HYPERLINK(G88,"Abrir ↗"))</f>
        <v/>
      </c>
    </row>
    <row r="89" customFormat="false" ht="15" hidden="false" customHeight="false" outlineLevel="0" collapsed="false">
      <c r="B89" s="45"/>
      <c r="C89" s="26"/>
      <c r="D89" s="26"/>
      <c r="E89" s="31"/>
      <c r="F89" s="40"/>
      <c r="G89" s="26"/>
      <c r="H89" s="42" t="str">
        <f aca="false">IF(G89="","",HYPERLINK(G89,"Abrir ↗"))</f>
        <v/>
      </c>
    </row>
    <row r="90" customFormat="false" ht="15" hidden="false" customHeight="false" outlineLevel="0" collapsed="false">
      <c r="B90" s="45"/>
      <c r="C90" s="26"/>
      <c r="D90" s="26"/>
      <c r="E90" s="31"/>
      <c r="F90" s="40"/>
      <c r="G90" s="26"/>
      <c r="H90" s="42" t="str">
        <f aca="false">IF(G90="","",HYPERLINK(G90,"Abrir ↗"))</f>
        <v/>
      </c>
    </row>
    <row r="91" customFormat="false" ht="15" hidden="false" customHeight="false" outlineLevel="0" collapsed="false">
      <c r="B91" s="45"/>
      <c r="C91" s="26"/>
      <c r="D91" s="26"/>
      <c r="E91" s="31"/>
      <c r="F91" s="40"/>
      <c r="G91" s="26"/>
      <c r="H91" s="42" t="str">
        <f aca="false">IF(G91="","",HYPERLINK(G91,"Abrir ↗"))</f>
        <v/>
      </c>
    </row>
    <row r="92" customFormat="false" ht="15" hidden="false" customHeight="false" outlineLevel="0" collapsed="false">
      <c r="B92" s="45"/>
      <c r="C92" s="26"/>
      <c r="D92" s="26"/>
      <c r="E92" s="31"/>
      <c r="F92" s="40"/>
      <c r="G92" s="26"/>
      <c r="H92" s="42" t="str">
        <f aca="false">IF(G92="","",HYPERLINK(G92,"Abrir ↗"))</f>
        <v/>
      </c>
    </row>
    <row r="93" customFormat="false" ht="15" hidden="false" customHeight="false" outlineLevel="0" collapsed="false">
      <c r="B93" s="45"/>
      <c r="C93" s="26"/>
      <c r="D93" s="26"/>
      <c r="E93" s="31"/>
      <c r="F93" s="40"/>
      <c r="G93" s="26"/>
      <c r="H93" s="42" t="str">
        <f aca="false">IF(G93="","",HYPERLINK(G93,"Abrir ↗"))</f>
        <v/>
      </c>
    </row>
    <row r="94" customFormat="false" ht="15" hidden="false" customHeight="false" outlineLevel="0" collapsed="false">
      <c r="B94" s="45"/>
      <c r="C94" s="26"/>
      <c r="D94" s="26"/>
      <c r="E94" s="31"/>
      <c r="F94" s="40"/>
      <c r="G94" s="26"/>
      <c r="H94" s="42" t="str">
        <f aca="false">IF(G94="","",HYPERLINK(G94,"Abrir ↗"))</f>
        <v/>
      </c>
    </row>
    <row r="95" customFormat="false" ht="15" hidden="false" customHeight="false" outlineLevel="0" collapsed="false">
      <c r="B95" s="45"/>
      <c r="C95" s="26"/>
      <c r="D95" s="26"/>
      <c r="E95" s="31"/>
      <c r="F95" s="40"/>
      <c r="G95" s="26"/>
      <c r="H95" s="42" t="str">
        <f aca="false">IF(G95="","",HYPERLINK(G95,"Abrir ↗"))</f>
        <v/>
      </c>
    </row>
    <row r="96" customFormat="false" ht="15" hidden="false" customHeight="false" outlineLevel="0" collapsed="false">
      <c r="B96" s="45"/>
      <c r="C96" s="26"/>
      <c r="D96" s="26"/>
      <c r="E96" s="31"/>
      <c r="F96" s="40"/>
      <c r="G96" s="26"/>
      <c r="H96" s="42" t="str">
        <f aca="false">IF(G96="","",HYPERLINK(G96,"Abrir ↗"))</f>
        <v/>
      </c>
    </row>
    <row r="97" customFormat="false" ht="15" hidden="false" customHeight="false" outlineLevel="0" collapsed="false">
      <c r="B97" s="45"/>
      <c r="C97" s="26"/>
      <c r="D97" s="26"/>
      <c r="E97" s="31"/>
      <c r="F97" s="40"/>
      <c r="G97" s="26"/>
      <c r="H97" s="42" t="str">
        <f aca="false">IF(G97="","",HYPERLINK(G97,"Abrir ↗"))</f>
        <v/>
      </c>
    </row>
    <row r="98" customFormat="false" ht="15" hidden="false" customHeight="false" outlineLevel="0" collapsed="false">
      <c r="B98" s="45"/>
      <c r="C98" s="26"/>
      <c r="D98" s="26"/>
      <c r="E98" s="31"/>
      <c r="F98" s="40"/>
      <c r="G98" s="26"/>
      <c r="H98" s="42" t="str">
        <f aca="false">IF(G98="","",HYPERLINK(G98,"Abrir ↗"))</f>
        <v/>
      </c>
    </row>
    <row r="99" customFormat="false" ht="15" hidden="false" customHeight="false" outlineLevel="0" collapsed="false">
      <c r="B99" s="45"/>
      <c r="C99" s="26"/>
      <c r="D99" s="26"/>
      <c r="E99" s="31"/>
      <c r="F99" s="40"/>
      <c r="G99" s="26"/>
      <c r="H99" s="42" t="str">
        <f aca="false">IF(G99="","",HYPERLINK(G99,"Abrir ↗"))</f>
        <v/>
      </c>
    </row>
    <row r="100" customFormat="false" ht="15" hidden="false" customHeight="false" outlineLevel="0" collapsed="false">
      <c r="B100" s="45"/>
      <c r="C100" s="26"/>
      <c r="D100" s="26"/>
      <c r="E100" s="31"/>
      <c r="F100" s="40"/>
      <c r="G100" s="26"/>
      <c r="H100" s="42" t="str">
        <f aca="false">IF(G100="","",HYPERLINK(G100,"Abrir ↗"))</f>
        <v/>
      </c>
    </row>
    <row r="101" customFormat="false" ht="15" hidden="false" customHeight="false" outlineLevel="0" collapsed="false">
      <c r="B101" s="45"/>
      <c r="C101" s="26"/>
      <c r="D101" s="26"/>
      <c r="E101" s="31"/>
      <c r="F101" s="40"/>
      <c r="G101" s="26"/>
      <c r="H101" s="42" t="str">
        <f aca="false">IF(G101="","",HYPERLINK(G101,"Abrir ↗"))</f>
        <v/>
      </c>
    </row>
    <row r="102" customFormat="false" ht="15" hidden="false" customHeight="false" outlineLevel="0" collapsed="false">
      <c r="B102" s="45"/>
      <c r="C102" s="26"/>
      <c r="D102" s="26"/>
      <c r="E102" s="31"/>
      <c r="F102" s="40"/>
      <c r="G102" s="26"/>
      <c r="H102" s="42" t="str">
        <f aca="false">IF(G102="","",HYPERLINK(G102,"Abrir ↗"))</f>
        <v/>
      </c>
    </row>
    <row r="103" customFormat="false" ht="15" hidden="false" customHeight="false" outlineLevel="0" collapsed="false">
      <c r="B103" s="45"/>
      <c r="C103" s="26"/>
      <c r="D103" s="26"/>
      <c r="E103" s="31"/>
      <c r="F103" s="40"/>
      <c r="G103" s="26"/>
      <c r="H103" s="42" t="str">
        <f aca="false">IF(G103="","",HYPERLINK(G103,"Abrir ↗"))</f>
        <v/>
      </c>
    </row>
    <row r="104" customFormat="false" ht="15" hidden="false" customHeight="false" outlineLevel="0" collapsed="false">
      <c r="B104" s="45"/>
      <c r="C104" s="26"/>
      <c r="D104" s="26"/>
      <c r="E104" s="31"/>
      <c r="F104" s="40"/>
      <c r="G104" s="26"/>
      <c r="H104" s="42" t="str">
        <f aca="false">IF(G104="","",HYPERLINK(G104,"Abrir ↗"))</f>
        <v/>
      </c>
    </row>
    <row r="105" customFormat="false" ht="15" hidden="false" customHeight="false" outlineLevel="0" collapsed="false">
      <c r="B105" s="45"/>
      <c r="C105" s="26"/>
      <c r="D105" s="26"/>
      <c r="E105" s="31"/>
      <c r="F105" s="40"/>
      <c r="G105" s="26"/>
      <c r="H105" s="42" t="str">
        <f aca="false">IF(G105="","",HYPERLINK(G105,"Abrir ↗"))</f>
        <v/>
      </c>
    </row>
    <row r="106" customFormat="false" ht="15" hidden="false" customHeight="false" outlineLevel="0" collapsed="false">
      <c r="B106" s="45"/>
      <c r="C106" s="26"/>
      <c r="D106" s="26"/>
      <c r="E106" s="31"/>
      <c r="F106" s="40"/>
      <c r="G106" s="26"/>
      <c r="H106" s="42" t="str">
        <f aca="false">IF(G106="","",HYPERLINK(G106,"Abrir ↗"))</f>
        <v/>
      </c>
    </row>
    <row r="107" customFormat="false" ht="15" hidden="false" customHeight="false" outlineLevel="0" collapsed="false">
      <c r="B107" s="45"/>
      <c r="C107" s="26"/>
      <c r="D107" s="26"/>
      <c r="E107" s="31"/>
      <c r="F107" s="40"/>
      <c r="G107" s="26"/>
      <c r="H107" s="42" t="str">
        <f aca="false">IF(G107="","",HYPERLINK(G107,"Abrir ↗"))</f>
        <v/>
      </c>
    </row>
  </sheetData>
  <sheetProtection sheet="true" formatColumns="false" formatRows="false"/>
  <mergeCells count="3">
    <mergeCell ref="B2:K2"/>
    <mergeCell ref="B3:K3"/>
    <mergeCell ref="B5:K5"/>
  </mergeCells>
  <dataValidations count="3">
    <dataValidation allowBlank="true" error="A data deve estar dentro do ano-calendário definido no menu INÍCIO." errorStyle="stop" errorTitle="Data fora do ano-calendário" operator="between" showDropDown="false" showErrorMessage="true" showInputMessage="true" sqref="B8:B107" type="date">
      <formula1>DATE(ANO_BASE,1,1)</formula1>
      <formula2>DATE(ANO_BASE,12,31)</formula2>
    </dataValidation>
    <dataValidation allowBlank="true" error="Escolha um tipo da lista." errorStyle="stop" errorTitle="Tipo inválido" operator="between" showDropDown="false" showErrorMessage="true" showInputMessage="true" sqref="C8:C107" type="list">
      <formula1>DEDUCOES</formula1>
      <formula2>0</formula2>
    </dataValidation>
    <dataValidation allowBlank="true" error="Informe um valor maior que zero." errorStyle="stop" errorTitle="Valor inválido" operator="greaterThan" showDropDown="false" showErrorMessage="true" showInputMessage="true" sqref="F8:F107" type="decimal">
      <formula1>0</formula1>
      <formula2>0</formula2>
    </dataValidation>
  </dataValidations>
  <hyperlinks>
    <hyperlink ref="B4" location="'INÍCIO'!A1" display="◀ Menu principal"/>
    <hyperlink ref="G4" location="'INÍCIO'!A1" display="Voltar ao menu ▶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26"/>
  </cols>
  <sheetData>
    <row r="1" customFormat="false" ht="15" hidden="false" customHeight="false" outlineLevel="0" collapsed="false">
      <c r="A1" s="49" t="s">
        <v>144</v>
      </c>
      <c r="B1" s="49" t="s">
        <v>145</v>
      </c>
      <c r="C1" s="49" t="s">
        <v>146</v>
      </c>
      <c r="D1" s="49" t="s">
        <v>147</v>
      </c>
      <c r="E1" s="49" t="s">
        <v>148</v>
      </c>
      <c r="F1" s="49" t="s">
        <v>73</v>
      </c>
      <c r="G1" s="49" t="s">
        <v>57</v>
      </c>
      <c r="I1" s="48" t="s">
        <v>149</v>
      </c>
    </row>
    <row r="2" customFormat="false" ht="15" hidden="false" customHeight="false" outlineLevel="0" collapsed="false">
      <c r="A2" s="50" t="s">
        <v>150</v>
      </c>
      <c r="B2" s="50" t="s">
        <v>123</v>
      </c>
      <c r="C2" s="50" t="s">
        <v>106</v>
      </c>
      <c r="D2" s="50" t="s">
        <v>140</v>
      </c>
      <c r="E2" s="50" t="s">
        <v>107</v>
      </c>
      <c r="F2" s="50" t="s">
        <v>151</v>
      </c>
      <c r="G2" s="50" t="s">
        <v>152</v>
      </c>
    </row>
    <row r="3" customFormat="false" ht="15" hidden="false" customHeight="false" outlineLevel="0" collapsed="false">
      <c r="A3" s="50" t="s">
        <v>153</v>
      </c>
      <c r="B3" s="50" t="s">
        <v>154</v>
      </c>
      <c r="C3" s="50" t="s">
        <v>155</v>
      </c>
      <c r="D3" s="50" t="s">
        <v>156</v>
      </c>
      <c r="E3" s="50" t="s">
        <v>85</v>
      </c>
      <c r="F3" s="50" t="s">
        <v>157</v>
      </c>
      <c r="G3" s="50" t="s">
        <v>58</v>
      </c>
    </row>
    <row r="4" customFormat="false" ht="15" hidden="false" customHeight="false" outlineLevel="0" collapsed="false">
      <c r="A4" s="50" t="s">
        <v>158</v>
      </c>
      <c r="B4" s="50" t="s">
        <v>159</v>
      </c>
      <c r="C4" s="50" t="s">
        <v>160</v>
      </c>
      <c r="D4" s="50" t="s">
        <v>161</v>
      </c>
      <c r="F4" s="50" t="s">
        <v>162</v>
      </c>
      <c r="G4" s="50" t="s">
        <v>163</v>
      </c>
    </row>
    <row r="5" customFormat="false" ht="15" hidden="false" customHeight="false" outlineLevel="0" collapsed="false">
      <c r="A5" s="50" t="s">
        <v>164</v>
      </c>
      <c r="B5" s="50" t="s">
        <v>165</v>
      </c>
      <c r="C5" s="50" t="s">
        <v>166</v>
      </c>
      <c r="D5" s="50" t="s">
        <v>167</v>
      </c>
      <c r="F5" s="50" t="s">
        <v>168</v>
      </c>
      <c r="G5" s="50" t="s">
        <v>169</v>
      </c>
    </row>
    <row r="6" customFormat="false" ht="15" hidden="false" customHeight="false" outlineLevel="0" collapsed="false">
      <c r="A6" s="50" t="s">
        <v>170</v>
      </c>
      <c r="B6" s="50" t="s">
        <v>171</v>
      </c>
      <c r="C6" s="50" t="s">
        <v>172</v>
      </c>
      <c r="D6" s="50" t="s">
        <v>173</v>
      </c>
      <c r="F6" s="50" t="s">
        <v>174</v>
      </c>
      <c r="G6" s="50" t="s">
        <v>175</v>
      </c>
    </row>
    <row r="7" customFormat="false" ht="15" hidden="false" customHeight="false" outlineLevel="0" collapsed="false">
      <c r="A7" s="50" t="s">
        <v>176</v>
      </c>
      <c r="B7" s="50" t="s">
        <v>177</v>
      </c>
      <c r="C7" s="50" t="s">
        <v>177</v>
      </c>
      <c r="D7" s="50" t="s">
        <v>178</v>
      </c>
      <c r="F7" s="50" t="s">
        <v>179</v>
      </c>
      <c r="G7" s="50" t="s">
        <v>180</v>
      </c>
    </row>
    <row r="8" customFormat="false" ht="15" hidden="false" customHeight="false" outlineLevel="0" collapsed="false">
      <c r="A8" s="50" t="s">
        <v>181</v>
      </c>
      <c r="F8" s="50" t="s">
        <v>182</v>
      </c>
    </row>
    <row r="9" customFormat="false" ht="15" hidden="false" customHeight="false" outlineLevel="0" collapsed="false">
      <c r="A9" s="50" t="s">
        <v>183</v>
      </c>
      <c r="F9" s="50" t="s">
        <v>184</v>
      </c>
    </row>
    <row r="10" customFormat="false" ht="15" hidden="false" customHeight="false" outlineLevel="0" collapsed="false">
      <c r="A10" s="50" t="s">
        <v>185</v>
      </c>
      <c r="F10" s="50" t="s">
        <v>186</v>
      </c>
    </row>
    <row r="11" customFormat="false" ht="15" hidden="false" customHeight="false" outlineLevel="0" collapsed="false">
      <c r="A11" s="50" t="s">
        <v>187</v>
      </c>
      <c r="F11" s="50" t="s">
        <v>188</v>
      </c>
    </row>
    <row r="12" customFormat="false" ht="15" hidden="false" customHeight="false" outlineLevel="0" collapsed="false">
      <c r="A12" s="50" t="s">
        <v>189</v>
      </c>
      <c r="F12" s="50" t="s">
        <v>190</v>
      </c>
    </row>
    <row r="13" customFormat="false" ht="15" hidden="false" customHeight="false" outlineLevel="0" collapsed="false">
      <c r="A13" s="50" t="s">
        <v>191</v>
      </c>
      <c r="F13" s="50" t="s">
        <v>192</v>
      </c>
    </row>
    <row r="14" customFormat="false" ht="15" hidden="false" customHeight="false" outlineLevel="0" collapsed="false">
      <c r="A14" s="50" t="s">
        <v>193</v>
      </c>
      <c r="F14" s="50" t="s">
        <v>194</v>
      </c>
    </row>
    <row r="15" customFormat="false" ht="15" hidden="false" customHeight="false" outlineLevel="0" collapsed="false">
      <c r="A15" s="50" t="s">
        <v>195</v>
      </c>
      <c r="F15" s="50" t="s">
        <v>196</v>
      </c>
    </row>
    <row r="16" customFormat="false" ht="15" hidden="false" customHeight="false" outlineLevel="0" collapsed="false">
      <c r="A16" s="50" t="s">
        <v>105</v>
      </c>
      <c r="F16" s="50" t="s">
        <v>197</v>
      </c>
    </row>
    <row r="17" customFormat="false" ht="15" hidden="false" customHeight="false" outlineLevel="0" collapsed="false">
      <c r="A17" s="50" t="s">
        <v>198</v>
      </c>
      <c r="F17" s="50" t="s">
        <v>74</v>
      </c>
    </row>
    <row r="18" customFormat="false" ht="15" hidden="false" customHeight="false" outlineLevel="0" collapsed="false">
      <c r="A18" s="50" t="s">
        <v>199</v>
      </c>
      <c r="F18" s="50" t="s">
        <v>200</v>
      </c>
    </row>
    <row r="19" customFormat="false" ht="15" hidden="false" customHeight="false" outlineLevel="0" collapsed="false">
      <c r="A19" s="50" t="s">
        <v>201</v>
      </c>
      <c r="F19" s="50" t="s">
        <v>202</v>
      </c>
    </row>
    <row r="20" customFormat="false" ht="15" hidden="false" customHeight="false" outlineLevel="0" collapsed="false">
      <c r="A20" s="50" t="s">
        <v>203</v>
      </c>
      <c r="F20" s="50" t="s">
        <v>204</v>
      </c>
    </row>
    <row r="21" customFormat="false" ht="15" hidden="false" customHeight="false" outlineLevel="0" collapsed="false">
      <c r="A21" s="50" t="s">
        <v>205</v>
      </c>
      <c r="F21" s="50" t="s">
        <v>206</v>
      </c>
    </row>
    <row r="22" customFormat="false" ht="15" hidden="false" customHeight="false" outlineLevel="0" collapsed="false">
      <c r="A22" s="50" t="s">
        <v>207</v>
      </c>
      <c r="F22" s="50" t="s">
        <v>208</v>
      </c>
    </row>
    <row r="23" customFormat="false" ht="15" hidden="false" customHeight="false" outlineLevel="0" collapsed="false">
      <c r="A23" s="50" t="s">
        <v>209</v>
      </c>
      <c r="F23" s="50" t="s">
        <v>210</v>
      </c>
    </row>
    <row r="24" customFormat="false" ht="15" hidden="false" customHeight="false" outlineLevel="0" collapsed="false">
      <c r="A24" s="50" t="s">
        <v>211</v>
      </c>
      <c r="F24" s="50" t="s">
        <v>212</v>
      </c>
    </row>
    <row r="25" customFormat="false" ht="15" hidden="false" customHeight="false" outlineLevel="0" collapsed="false">
      <c r="A25" s="50" t="s">
        <v>213</v>
      </c>
      <c r="F25" s="50" t="s">
        <v>214</v>
      </c>
    </row>
    <row r="26" customFormat="false" ht="15" hidden="false" customHeight="false" outlineLevel="0" collapsed="false">
      <c r="A26" s="50" t="s">
        <v>215</v>
      </c>
      <c r="F26" s="50" t="s">
        <v>216</v>
      </c>
    </row>
    <row r="27" customFormat="false" ht="15" hidden="false" customHeight="false" outlineLevel="0" collapsed="false">
      <c r="A27" s="50" t="s">
        <v>217</v>
      </c>
      <c r="F27" s="50" t="s">
        <v>218</v>
      </c>
    </row>
    <row r="28" customFormat="false" ht="15" hidden="false" customHeight="false" outlineLevel="0" collapsed="false">
      <c r="A28" s="50" t="s">
        <v>219</v>
      </c>
      <c r="F28" s="50" t="s">
        <v>220</v>
      </c>
    </row>
    <row r="29" customFormat="false" ht="15" hidden="false" customHeight="false" outlineLevel="0" collapsed="false">
      <c r="A29" s="50" t="s">
        <v>221</v>
      </c>
    </row>
    <row r="30" customFormat="false" ht="15" hidden="false" customHeight="false" outlineLevel="0" collapsed="false">
      <c r="A30" s="50" t="s">
        <v>222</v>
      </c>
    </row>
    <row r="31" customFormat="false" ht="15" hidden="false" customHeight="false" outlineLevel="0" collapsed="false">
      <c r="A31" s="50" t="s">
        <v>223</v>
      </c>
    </row>
    <row r="32" customFormat="false" ht="15" hidden="false" customHeight="false" outlineLevel="0" collapsed="false">
      <c r="A32" s="50" t="s">
        <v>224</v>
      </c>
    </row>
    <row r="33" customFormat="false" ht="15" hidden="false" customHeight="false" outlineLevel="0" collapsed="false">
      <c r="A33" s="50" t="s">
        <v>225</v>
      </c>
    </row>
    <row r="34" customFormat="false" ht="15" hidden="false" customHeight="false" outlineLevel="0" collapsed="false">
      <c r="A34" s="50" t="s">
        <v>226</v>
      </c>
    </row>
    <row r="35" customFormat="false" ht="15" hidden="false" customHeight="false" outlineLevel="0" collapsed="false">
      <c r="A35" s="50" t="s">
        <v>227</v>
      </c>
    </row>
    <row r="36" customFormat="false" ht="15" hidden="false" customHeight="false" outlineLevel="0" collapsed="false">
      <c r="A36" s="50" t="s">
        <v>228</v>
      </c>
    </row>
    <row r="37" customFormat="false" ht="15" hidden="false" customHeight="false" outlineLevel="0" collapsed="false">
      <c r="A37" s="50" t="s">
        <v>229</v>
      </c>
    </row>
    <row r="38" customFormat="false" ht="15" hidden="false" customHeight="false" outlineLevel="0" collapsed="false">
      <c r="A38" s="50" t="s">
        <v>230</v>
      </c>
    </row>
    <row r="39" customFormat="false" ht="15" hidden="false" customHeight="false" outlineLevel="0" collapsed="false">
      <c r="A39" s="50" t="s">
        <v>231</v>
      </c>
    </row>
    <row r="40" customFormat="false" ht="15" hidden="false" customHeight="false" outlineLevel="0" collapsed="false">
      <c r="A40" s="50" t="s">
        <v>232</v>
      </c>
    </row>
    <row r="41" customFormat="false" ht="15" hidden="false" customHeight="false" outlineLevel="0" collapsed="false">
      <c r="A41" s="50" t="s">
        <v>233</v>
      </c>
    </row>
    <row r="42" customFormat="false" ht="15" hidden="false" customHeight="false" outlineLevel="0" collapsed="false">
      <c r="A42" s="50" t="s">
        <v>234</v>
      </c>
    </row>
    <row r="43" customFormat="false" ht="15" hidden="false" customHeight="false" outlineLevel="0" collapsed="false">
      <c r="A43" s="50" t="s">
        <v>235</v>
      </c>
    </row>
    <row r="44" customFormat="false" ht="15" hidden="false" customHeight="false" outlineLevel="0" collapsed="false">
      <c r="A44" s="50" t="s">
        <v>236</v>
      </c>
    </row>
    <row r="45" customFormat="false" ht="15" hidden="false" customHeight="false" outlineLevel="0" collapsed="false">
      <c r="A45" s="50" t="s">
        <v>237</v>
      </c>
    </row>
    <row r="46" customFormat="false" ht="15" hidden="false" customHeight="false" outlineLevel="0" collapsed="false">
      <c r="A46" s="50" t="s">
        <v>238</v>
      </c>
    </row>
    <row r="47" customFormat="false" ht="15" hidden="false" customHeight="false" outlineLevel="0" collapsed="false">
      <c r="A47" s="50" t="s">
        <v>239</v>
      </c>
    </row>
    <row r="48" customFormat="false" ht="15" hidden="false" customHeight="false" outlineLevel="0" collapsed="false">
      <c r="A48" s="50" t="s">
        <v>240</v>
      </c>
    </row>
    <row r="49" customFormat="false" ht="15" hidden="false" customHeight="false" outlineLevel="0" collapsed="false">
      <c r="A49" s="50" t="s">
        <v>241</v>
      </c>
    </row>
    <row r="50" customFormat="false" ht="15" hidden="false" customHeight="false" outlineLevel="0" collapsed="false">
      <c r="A50" s="50" t="s">
        <v>242</v>
      </c>
    </row>
    <row r="51" customFormat="false" ht="15" hidden="false" customHeight="false" outlineLevel="0" collapsed="false">
      <c r="A51" s="50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2026-10-18T20:07:38Z</dcterms:created>
  <dc:creator>openpyxl</dc:creator>
  <dc:description/>
  <dc:language>en-US</dc:language>
  <cp:lastModifiedBy/>
  <dcterms:modified xsi:type="dcterms:W3CDTF">2026-10-18T20:07:40Z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